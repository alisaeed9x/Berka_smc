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s\"/>
    </mc:Choice>
  </mc:AlternateContent>
  <xr:revisionPtr revIDLastSave="0" documentId="13_ncr:1_{6299E0FD-27A1-4F7A-B3B4-5CA913F1225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العيادة" sheetId="1" r:id="rId1"/>
    <sheet name="مكتب التسجيل" sheetId="2" r:id="rId2"/>
    <sheet name="الصيدلية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2" l="1"/>
  <c r="H16" i="2"/>
  <c r="J16" i="2"/>
  <c r="L16" i="2"/>
  <c r="N16" i="2"/>
  <c r="G16" i="3"/>
  <c r="I16" i="3"/>
  <c r="K16" i="3"/>
  <c r="M16" i="3"/>
  <c r="O16" i="3"/>
  <c r="Q16" i="3"/>
  <c r="S16" i="3"/>
  <c r="F16" i="1"/>
  <c r="H16" i="1"/>
  <c r="J16" i="1"/>
  <c r="L16" i="1"/>
  <c r="G15" i="3"/>
  <c r="I15" i="3"/>
  <c r="K15" i="3"/>
  <c r="M15" i="3"/>
  <c r="O15" i="3"/>
  <c r="Q15" i="3"/>
  <c r="S15" i="3"/>
  <c r="F15" i="2"/>
  <c r="H15" i="2"/>
  <c r="J15" i="2"/>
  <c r="L15" i="2"/>
  <c r="N15" i="2"/>
  <c r="G5" i="3"/>
  <c r="G6" i="3" s="1"/>
  <c r="G7" i="3" s="1"/>
  <c r="G8" i="3" s="1"/>
  <c r="G9" i="3" s="1"/>
  <c r="G10" i="3" s="1"/>
  <c r="G11" i="3" s="1"/>
  <c r="G12" i="3" s="1"/>
  <c r="G13" i="3" s="1"/>
  <c r="G14" i="3" s="1"/>
  <c r="I5" i="3"/>
  <c r="I6" i="3" s="1"/>
  <c r="I7" i="3" s="1"/>
  <c r="I8" i="3" s="1"/>
  <c r="I9" i="3" s="1"/>
  <c r="I10" i="3" s="1"/>
  <c r="I11" i="3" s="1"/>
  <c r="I12" i="3" s="1"/>
  <c r="I13" i="3" s="1"/>
  <c r="I14" i="3" s="1"/>
  <c r="K5" i="3"/>
  <c r="K6" i="3" s="1"/>
  <c r="K7" i="3" s="1"/>
  <c r="K8" i="3" s="1"/>
  <c r="K9" i="3" s="1"/>
  <c r="K10" i="3" s="1"/>
  <c r="K11" i="3" s="1"/>
  <c r="K12" i="3" s="1"/>
  <c r="K13" i="3" s="1"/>
  <c r="K14" i="3" s="1"/>
  <c r="M5" i="3"/>
  <c r="M6" i="3" s="1"/>
  <c r="M7" i="3" s="1"/>
  <c r="M8" i="3" s="1"/>
  <c r="M9" i="3" s="1"/>
  <c r="M10" i="3" s="1"/>
  <c r="M11" i="3" s="1"/>
  <c r="M12" i="3" s="1"/>
  <c r="M13" i="3" s="1"/>
  <c r="M14" i="3" s="1"/>
  <c r="O5" i="3"/>
  <c r="O6" i="3" s="1"/>
  <c r="O7" i="3" s="1"/>
  <c r="O8" i="3" s="1"/>
  <c r="O9" i="3" s="1"/>
  <c r="O10" i="3" s="1"/>
  <c r="O11" i="3" s="1"/>
  <c r="O12" i="3" s="1"/>
  <c r="O13" i="3" s="1"/>
  <c r="O14" i="3" s="1"/>
  <c r="Q5" i="3"/>
  <c r="Q6" i="3" s="1"/>
  <c r="Q7" i="3" s="1"/>
  <c r="Q8" i="3" s="1"/>
  <c r="Q9" i="3" s="1"/>
  <c r="Q10" i="3" s="1"/>
  <c r="Q11" i="3" s="1"/>
  <c r="Q12" i="3" s="1"/>
  <c r="Q13" i="3" s="1"/>
  <c r="Q14" i="3" s="1"/>
  <c r="S5" i="3"/>
  <c r="S6" i="3" s="1"/>
  <c r="S7" i="3" s="1"/>
  <c r="S8" i="3" s="1"/>
  <c r="S9" i="3" s="1"/>
  <c r="S10" i="3" s="1"/>
  <c r="S11" i="3" s="1"/>
  <c r="S12" i="3" s="1"/>
  <c r="S13" i="3" s="1"/>
  <c r="S14" i="3" s="1"/>
  <c r="F5" i="2"/>
  <c r="F6" i="2" s="1"/>
  <c r="F7" i="2" s="1"/>
  <c r="F8" i="2" s="1"/>
  <c r="F9" i="2" s="1"/>
  <c r="F10" i="2" s="1"/>
  <c r="F11" i="2" s="1"/>
  <c r="F12" i="2" s="1"/>
  <c r="F13" i="2" s="1"/>
  <c r="F14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J5" i="2"/>
  <c r="J6" i="2" s="1"/>
  <c r="J7" i="2" s="1"/>
  <c r="J8" i="2" s="1"/>
  <c r="J9" i="2" s="1"/>
  <c r="J10" i="2" s="1"/>
  <c r="J11" i="2" s="1"/>
  <c r="J12" i="2" s="1"/>
  <c r="J13" i="2" s="1"/>
  <c r="J14" i="2" s="1"/>
  <c r="L5" i="2"/>
  <c r="L6" i="2" s="1"/>
  <c r="L7" i="2" s="1"/>
  <c r="L8" i="2" s="1"/>
  <c r="L9" i="2" s="1"/>
  <c r="L10" i="2" s="1"/>
  <c r="L11" i="2" s="1"/>
  <c r="L12" i="2" s="1"/>
  <c r="L13" i="2" s="1"/>
  <c r="L14" i="2" s="1"/>
  <c r="N5" i="2"/>
  <c r="N6" i="2" s="1"/>
  <c r="N7" i="2" s="1"/>
  <c r="N8" i="2" s="1"/>
  <c r="N9" i="2" s="1"/>
  <c r="N10" i="2" s="1"/>
  <c r="N11" i="2" s="1"/>
  <c r="N12" i="2" s="1"/>
  <c r="N13" i="2" s="1"/>
  <c r="N14" i="2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</calcChain>
</file>

<file path=xl/sharedStrings.xml><?xml version="1.0" encoding="utf-8"?>
<sst xmlns="http://schemas.openxmlformats.org/spreadsheetml/2006/main" count="271" uniqueCount="31">
  <si>
    <t>المحافظة</t>
  </si>
  <si>
    <t>الادارة</t>
  </si>
  <si>
    <t>المركز</t>
  </si>
  <si>
    <t>م</t>
  </si>
  <si>
    <t xml:space="preserve">اسم المحافظة </t>
  </si>
  <si>
    <t>اسم الادارة</t>
  </si>
  <si>
    <t xml:space="preserve">اسم المركز/الوحده </t>
  </si>
  <si>
    <t xml:space="preserve">التاريخ </t>
  </si>
  <si>
    <t xml:space="preserve"> عدد القرارت المنصرفة للضغط العالى فقط </t>
  </si>
  <si>
    <t xml:space="preserve"> عدد القرارت المنصرفة للسكر نوع اول فقط </t>
  </si>
  <si>
    <t xml:space="preserve"> عدد القرارت المنصرفة للسكر نوع ثانى فقط </t>
  </si>
  <si>
    <t xml:space="preserve"> عدد القرارت المنصرفة للسكر و الضغط</t>
  </si>
  <si>
    <t>اليوم</t>
  </si>
  <si>
    <t>حتى اليوم</t>
  </si>
  <si>
    <t>حتي اليوم</t>
  </si>
  <si>
    <t>اجمالى عدد المرضى المستعلم عنهم</t>
  </si>
  <si>
    <t>عدد من تم عرضة على اللجنه الثلاثية</t>
  </si>
  <si>
    <t xml:space="preserve">عدد من صدر لهم قرار من اللجنه </t>
  </si>
  <si>
    <t xml:space="preserve">  عدد المواطنين الجدد الذين تم الصرف العلاج لهم</t>
  </si>
  <si>
    <t xml:space="preserve">  عدد المواطنين  ممن تكرر صرف العلاج لهم</t>
  </si>
  <si>
    <t>التاريخ</t>
  </si>
  <si>
    <t xml:space="preserve">اجمالى المرضى المحولين لمكتب التسجيل والقرارات </t>
  </si>
  <si>
    <t xml:space="preserve">اجمالى تردد الامراض المزمنة جديد ومتردد </t>
  </si>
  <si>
    <t>تردد مرضى الامراض المزمنه الجدد</t>
  </si>
  <si>
    <t>تردد مرضى الامراض المزمنه المترددين</t>
  </si>
  <si>
    <t>عدد من تم رفع له مستندات اللجنة الثلاثية علي منظومة نفقة الدولة وفي انتظار صدور القرار</t>
  </si>
  <si>
    <t>إجمالي المواطنين  تم صرف العلاج لهم</t>
  </si>
  <si>
    <t>عدد المستحقين لخدمة نفقة الدولة بعد الإستعلام</t>
  </si>
  <si>
    <t xml:space="preserve">المرج </t>
  </si>
  <si>
    <t>مركز طبي بركة الحاج</t>
  </si>
  <si>
    <t>القاهرة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</si>
</sst>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b/>
      <sz val="12"/>
      <color rgb="FF000000"/>
      <name val="Calibri"/>
      <family val="2"/>
    </font>
    <font>
      <b/>
      <sz val="10"/>
      <color rgb="FF000000"/>
      <name val="Arial"/>
      <family val="2"/>
    </font>
    <font>
      <b/>
      <sz val="11"/>
      <name val="Calibri"/>
      <family val="2"/>
    </font>
    <font>
      <b/>
      <sz val="12"/>
      <color rgb="FF000000"/>
      <name val="Roboto"/>
    </font>
    <font>
      <b/>
      <sz val="14"/>
      <name val="Calibri"/>
      <family val="2"/>
      <charset val="178"/>
    </font>
    <font>
      <b/>
      <sz val="14"/>
      <name val="Arial"/>
      <family val="2"/>
      <charset val="178"/>
    </font>
    <font>
      <sz val="14"/>
      <name val="Calibri"/>
      <family val="2"/>
      <charset val="178"/>
    </font>
    <font>
      <sz val="14"/>
      <name val="Calibri"/>
      <family val="2"/>
    </font>
    <font>
      <sz val="12"/>
      <name val="Calibri"/>
      <family val="2"/>
    </font>
    <font>
      <sz val="11"/>
      <color rgb="FF000000"/>
      <name val="Arial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4CDD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46">
    <xf numFmtId="0" fontId="0" fillId="0" borderId="0" xfId="0">
      <alignment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 vertical="center"/>
    </xf>
    <xf numFmtId="0" fontId="11" fillId="5" borderId="6" xfId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4" fontId="11" fillId="6" borderId="0" xfId="0" applyNumberFormat="1" applyFont="1" applyFill="1">
      <alignment vertical="center"/>
    </xf>
    <xf numFmtId="0" fontId="1" fillId="0" borderId="7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4" fontId="12" fillId="6" borderId="3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38FA0658-F003-4409-AB12-DE664F7303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rightToLeft="1" zoomScale="123" zoomScaleNormal="100" workbookViewId="0">
      <pane ySplit="1" topLeftCell="A6" activePane="bottomLeft" state="frozen"/>
      <selection activeCell="G1" sqref="G1"/>
      <selection pane="bottomLeft" activeCell="L16" sqref="L16"/>
    </sheetView>
  </sheetViews>
  <sheetFormatPr defaultColWidth="11" defaultRowHeight="15.75" x14ac:dyDescent="0.25"/>
  <cols>
    <col min="1" max="1" width="14.85546875" style="8" bestFit="1" customWidth="1"/>
    <col min="2" max="3" width="11" style="2"/>
    <col min="4" max="4" width="15.42578125" style="2" bestFit="1" customWidth="1"/>
    <col min="5" max="5" width="11" style="2"/>
    <col min="6" max="6" width="11" style="31"/>
    <col min="7" max="7" width="11" style="2"/>
    <col min="8" max="8" width="11" style="31"/>
    <col min="9" max="9" width="11" style="2"/>
    <col min="10" max="10" width="11" style="31"/>
    <col min="11" max="11" width="11" style="2"/>
    <col min="12" max="12" width="11" style="31"/>
    <col min="13" max="16384" width="11" style="2"/>
  </cols>
  <sheetData>
    <row r="1" spans="1:12" ht="47.25" customHeight="1" x14ac:dyDescent="0.25">
      <c r="A1" s="34" t="s">
        <v>20</v>
      </c>
      <c r="B1" s="34" t="s">
        <v>0</v>
      </c>
      <c r="C1" s="34" t="s">
        <v>1</v>
      </c>
      <c r="D1" s="34" t="s">
        <v>2</v>
      </c>
      <c r="E1" s="36" t="s">
        <v>23</v>
      </c>
      <c r="F1" s="36"/>
      <c r="G1" s="36" t="s">
        <v>24</v>
      </c>
      <c r="H1" s="36"/>
      <c r="I1" s="36" t="s">
        <v>22</v>
      </c>
      <c r="J1" s="36"/>
      <c r="K1" s="35" t="s">
        <v>21</v>
      </c>
      <c r="L1" s="35"/>
    </row>
    <row r="2" spans="1:12" ht="15" x14ac:dyDescent="0.25">
      <c r="A2" s="34"/>
      <c r="B2" s="34"/>
      <c r="C2" s="34"/>
      <c r="D2" s="34"/>
      <c r="E2" s="1" t="s">
        <v>12</v>
      </c>
      <c r="F2" s="32" t="s">
        <v>14</v>
      </c>
      <c r="G2" s="1" t="s">
        <v>12</v>
      </c>
      <c r="H2" s="32" t="s">
        <v>14</v>
      </c>
      <c r="I2" s="1" t="s">
        <v>12</v>
      </c>
      <c r="J2" s="32" t="s">
        <v>14</v>
      </c>
      <c r="K2" s="1" t="s">
        <v>12</v>
      </c>
      <c r="L2" s="32" t="s">
        <v>14</v>
      </c>
    </row>
    <row r="3" spans="1:12" x14ac:dyDescent="0.25">
      <c r="A3" s="24">
        <v>46111</v>
      </c>
      <c r="B3" s="27" t="s">
        <v>30</v>
      </c>
      <c r="C3" s="27" t="s">
        <v>28</v>
      </c>
      <c r="D3" s="27" t="s">
        <v>29</v>
      </c>
      <c r="E3" s="26">
        <v>2</v>
      </c>
      <c r="F3" s="32">
        <v>555</v>
      </c>
      <c r="G3" s="26">
        <v>2</v>
      </c>
      <c r="H3" s="32">
        <v>625</v>
      </c>
      <c r="I3" s="26">
        <v>4</v>
      </c>
      <c r="J3" s="32">
        <v>1180</v>
      </c>
      <c r="K3" s="23">
        <v>2</v>
      </c>
      <c r="L3" s="32">
        <v>783</v>
      </c>
    </row>
    <row r="4" spans="1:12" x14ac:dyDescent="0.25">
      <c r="A4" s="24">
        <v>46112</v>
      </c>
      <c r="B4" s="27" t="s">
        <v>30</v>
      </c>
      <c r="C4" s="27" t="s">
        <v>28</v>
      </c>
      <c r="D4" s="27" t="s">
        <v>29</v>
      </c>
      <c r="E4" s="26">
        <v>1</v>
      </c>
      <c r="F4" s="32">
        <v>556</v>
      </c>
      <c r="G4" s="26">
        <v>1</v>
      </c>
      <c r="H4" s="32">
        <v>626</v>
      </c>
      <c r="I4" s="26">
        <v>2</v>
      </c>
      <c r="J4" s="32">
        <v>1182</v>
      </c>
      <c r="K4" s="23">
        <v>1</v>
      </c>
      <c r="L4" s="32">
        <v>784</v>
      </c>
    </row>
    <row r="5" spans="1:12" x14ac:dyDescent="0.25">
      <c r="A5" s="24">
        <v>46113</v>
      </c>
      <c r="B5" s="27" t="s">
        <v>30</v>
      </c>
      <c r="C5" s="27" t="s">
        <v>28</v>
      </c>
      <c r="D5" s="27" t="s">
        <v>29</v>
      </c>
      <c r="E5" s="28">
        <v>1</v>
      </c>
      <c r="F5" s="32">
        <f t="shared" ref="F5" si="0">SUM(E5,F4)</f>
        <v>557</v>
      </c>
      <c r="G5" s="28">
        <v>4</v>
      </c>
      <c r="H5" s="32">
        <f t="shared" ref="H5" si="1">SUM(H4,G5)</f>
        <v>630</v>
      </c>
      <c r="I5" s="28">
        <v>5</v>
      </c>
      <c r="J5" s="32">
        <f t="shared" ref="J5" si="2">SUM(J4,I5)</f>
        <v>1187</v>
      </c>
      <c r="K5" s="25">
        <v>1</v>
      </c>
      <c r="L5" s="32">
        <f t="shared" ref="L5" si="3">SUM(L4,K5)</f>
        <v>785</v>
      </c>
    </row>
    <row r="6" spans="1:12" x14ac:dyDescent="0.25">
      <c r="A6" s="24">
        <v>46114</v>
      </c>
      <c r="B6" s="27" t="s">
        <v>30</v>
      </c>
      <c r="C6" s="27" t="s">
        <v>28</v>
      </c>
      <c r="D6" s="27" t="s">
        <v>29</v>
      </c>
      <c r="E6" s="28">
        <v>0</v>
      </c>
      <c r="F6" s="32">
        <f t="shared" ref="F6" si="4">SUM(E6,F5)</f>
        <v>557</v>
      </c>
      <c r="G6" s="28">
        <v>2</v>
      </c>
      <c r="H6" s="32">
        <f t="shared" ref="H6" si="5">SUM(H5,G6)</f>
        <v>632</v>
      </c>
      <c r="I6" s="28">
        <v>2</v>
      </c>
      <c r="J6" s="32">
        <f t="shared" ref="J6" si="6">SUM(J5,I6)</f>
        <v>1189</v>
      </c>
      <c r="K6" s="25">
        <v>0</v>
      </c>
      <c r="L6" s="32">
        <f t="shared" ref="L6" si="7">SUM(L5,K6)</f>
        <v>785</v>
      </c>
    </row>
    <row r="7" spans="1:12" x14ac:dyDescent="0.25">
      <c r="A7" s="24">
        <v>46116</v>
      </c>
      <c r="B7" s="27" t="s">
        <v>30</v>
      </c>
      <c r="C7" s="27" t="s">
        <v>28</v>
      </c>
      <c r="D7" s="27" t="s">
        <v>29</v>
      </c>
      <c r="E7" s="28">
        <v>1</v>
      </c>
      <c r="F7" s="32">
        <f t="shared" ref="F7" si="8">SUM(E7,F6)</f>
        <v>558</v>
      </c>
      <c r="G7" s="28">
        <v>4</v>
      </c>
      <c r="H7" s="32">
        <f t="shared" ref="H7" si="9">SUM(H6,G7)</f>
        <v>636</v>
      </c>
      <c r="I7" s="28">
        <v>5</v>
      </c>
      <c r="J7" s="32">
        <f t="shared" ref="J7" si="10">SUM(J6,I7)</f>
        <v>1194</v>
      </c>
      <c r="K7" s="25">
        <v>1</v>
      </c>
      <c r="L7" s="32">
        <f t="shared" ref="L7" si="11">SUM(L6,K7)</f>
        <v>786</v>
      </c>
    </row>
    <row r="8" spans="1:12" x14ac:dyDescent="0.25">
      <c r="A8" s="24">
        <v>46117</v>
      </c>
      <c r="B8" s="27" t="s">
        <v>30</v>
      </c>
      <c r="C8" s="27" t="s">
        <v>28</v>
      </c>
      <c r="D8" s="27" t="s">
        <v>29</v>
      </c>
      <c r="E8" s="28">
        <v>1</v>
      </c>
      <c r="F8" s="32">
        <f t="shared" ref="F8" si="12">SUM(E8,F7)</f>
        <v>559</v>
      </c>
      <c r="G8" s="28">
        <v>8</v>
      </c>
      <c r="H8" s="32">
        <f t="shared" ref="H8" si="13">SUM(H7,G8)</f>
        <v>644</v>
      </c>
      <c r="I8" s="28">
        <v>9</v>
      </c>
      <c r="J8" s="32">
        <f t="shared" ref="J8" si="14">SUM(J7,I8)</f>
        <v>1203</v>
      </c>
      <c r="K8" s="25">
        <v>1</v>
      </c>
      <c r="L8" s="32">
        <f t="shared" ref="L8" si="15">SUM(L7,K8)</f>
        <v>787</v>
      </c>
    </row>
    <row r="9" spans="1:12" x14ac:dyDescent="0.25">
      <c r="A9" s="24">
        <v>46118</v>
      </c>
      <c r="B9" s="27" t="s">
        <v>30</v>
      </c>
      <c r="C9" s="27" t="s">
        <v>28</v>
      </c>
      <c r="D9" s="27" t="s">
        <v>29</v>
      </c>
      <c r="E9" s="28">
        <v>3</v>
      </c>
      <c r="F9" s="32">
        <f t="shared" ref="F9" si="16">SUM(E9,F8)</f>
        <v>562</v>
      </c>
      <c r="G9" s="28">
        <v>2</v>
      </c>
      <c r="H9" s="32">
        <f t="shared" ref="H9" si="17">SUM(H8,G9)</f>
        <v>646</v>
      </c>
      <c r="I9" s="28">
        <v>5</v>
      </c>
      <c r="J9" s="32">
        <f t="shared" ref="J9" si="18">SUM(J8,I9)</f>
        <v>1208</v>
      </c>
      <c r="K9" s="25">
        <v>3</v>
      </c>
      <c r="L9" s="32">
        <f t="shared" ref="L9" si="19">SUM(L8,K9)</f>
        <v>790</v>
      </c>
    </row>
    <row r="10" spans="1:12" x14ac:dyDescent="0.25">
      <c r="A10" s="24">
        <v>46119</v>
      </c>
      <c r="B10" s="27" t="s">
        <v>30</v>
      </c>
      <c r="C10" s="27" t="s">
        <v>28</v>
      </c>
      <c r="D10" s="27" t="s">
        <v>29</v>
      </c>
      <c r="E10" s="28">
        <v>0</v>
      </c>
      <c r="F10" s="32">
        <f t="shared" ref="F10:F11" si="20">SUM(E10,F9)</f>
        <v>562</v>
      </c>
      <c r="G10" s="28">
        <v>0</v>
      </c>
      <c r="H10" s="32">
        <f t="shared" ref="H10:H11" si="21">SUM(H9,G10)</f>
        <v>646</v>
      </c>
      <c r="I10" s="28">
        <v>0</v>
      </c>
      <c r="J10" s="32">
        <f t="shared" ref="J10:J11" si="22">SUM(J9,I10)</f>
        <v>1208</v>
      </c>
      <c r="K10" s="25">
        <v>0</v>
      </c>
      <c r="L10" s="32">
        <f t="shared" ref="L10:L11" si="23">SUM(L9,K10)</f>
        <v>790</v>
      </c>
    </row>
    <row r="11" spans="1:12" x14ac:dyDescent="0.25">
      <c r="A11" s="24">
        <v>46120</v>
      </c>
      <c r="B11" s="27" t="s">
        <v>30</v>
      </c>
      <c r="C11" s="27" t="s">
        <v>28</v>
      </c>
      <c r="D11" s="27" t="s">
        <v>29</v>
      </c>
      <c r="E11" s="28">
        <v>1</v>
      </c>
      <c r="F11" s="32">
        <f t="shared" si="20"/>
        <v>563</v>
      </c>
      <c r="G11" s="28">
        <v>0</v>
      </c>
      <c r="H11" s="32">
        <f t="shared" si="21"/>
        <v>646</v>
      </c>
      <c r="I11" s="28">
        <v>1</v>
      </c>
      <c r="J11" s="32">
        <f t="shared" si="22"/>
        <v>1209</v>
      </c>
      <c r="K11" s="25">
        <v>1</v>
      </c>
      <c r="L11" s="32">
        <f t="shared" si="23"/>
        <v>791</v>
      </c>
    </row>
    <row r="12" spans="1:12" x14ac:dyDescent="0.25">
      <c r="A12" s="24">
        <v>46121</v>
      </c>
      <c r="B12" s="27" t="s">
        <v>30</v>
      </c>
      <c r="C12" s="27" t="s">
        <v>28</v>
      </c>
      <c r="D12" s="27" t="s">
        <v>29</v>
      </c>
      <c r="E12" s="28">
        <v>0</v>
      </c>
      <c r="F12" s="32">
        <f t="shared" ref="F12:F13" si="24">SUM(E12,F11)</f>
        <v>563</v>
      </c>
      <c r="G12" s="28">
        <v>3</v>
      </c>
      <c r="H12" s="32">
        <f t="shared" ref="H12:H13" si="25">SUM(H11,G12)</f>
        <v>649</v>
      </c>
      <c r="I12" s="28">
        <v>3</v>
      </c>
      <c r="J12" s="32">
        <f t="shared" ref="J12:J13" si="26">SUM(J11,I12)</f>
        <v>1212</v>
      </c>
      <c r="K12" s="25">
        <v>0</v>
      </c>
      <c r="L12" s="32">
        <f t="shared" ref="L12:L13" si="27">SUM(L11,K12)</f>
        <v>791</v>
      </c>
    </row>
    <row r="13" spans="1:12" x14ac:dyDescent="0.25">
      <c r="A13" s="24">
        <v>46123</v>
      </c>
      <c r="B13" s="27" t="s">
        <v>30</v>
      </c>
      <c r="C13" s="27" t="s">
        <v>28</v>
      </c>
      <c r="D13" s="27" t="s">
        <v>29</v>
      </c>
      <c r="E13" s="28">
        <v>1</v>
      </c>
      <c r="F13" s="32">
        <f t="shared" si="24"/>
        <v>564</v>
      </c>
      <c r="G13" s="28">
        <v>5</v>
      </c>
      <c r="H13" s="32">
        <f t="shared" si="25"/>
        <v>654</v>
      </c>
      <c r="I13" s="28">
        <v>6</v>
      </c>
      <c r="J13" s="32">
        <f t="shared" si="26"/>
        <v>1218</v>
      </c>
      <c r="K13" s="25">
        <v>1</v>
      </c>
      <c r="L13" s="32">
        <f t="shared" si="27"/>
        <v>792</v>
      </c>
    </row>
    <row r="14" spans="1:12" x14ac:dyDescent="0.25">
      <c r="A14" s="24">
        <v>46124</v>
      </c>
      <c r="B14" s="27" t="s">
        <v>30</v>
      </c>
      <c r="C14" s="27" t="s">
        <v>28</v>
      </c>
      <c r="D14" s="27" t="s">
        <v>29</v>
      </c>
      <c r="E14" s="28">
        <v>1</v>
      </c>
      <c r="F14" s="32">
        <f t="shared" ref="F14" si="28">SUM(E14,F13)</f>
        <v>565</v>
      </c>
      <c r="G14" s="28">
        <v>2</v>
      </c>
      <c r="H14" s="32">
        <f t="shared" ref="H14" si="29">SUM(H13,G14)</f>
        <v>656</v>
      </c>
      <c r="I14" s="28">
        <v>3</v>
      </c>
      <c r="J14" s="32">
        <f t="shared" ref="J14" si="30">SUM(J13,I14)</f>
        <v>1221</v>
      </c>
      <c r="K14" s="25">
        <v>1</v>
      </c>
      <c r="L14" s="32">
        <f t="shared" ref="L14" si="31">SUM(L13,K14)</f>
        <v>793</v>
      </c>
    </row>
    <row r="15" spans="1:12" x14ac:dyDescent="0.25">
      <c r="A15" s="24">
        <v>46126</v>
      </c>
      <c r="B15" s="27" t="s">
        <v>30</v>
      </c>
      <c r="C15" s="27" t="s">
        <v>28</v>
      </c>
      <c r="D15" s="27" t="s">
        <v>29</v>
      </c>
      <c r="E15" s="28">
        <v>1</v>
      </c>
      <c r="F15" s="32">
        <f>SUM(E15,F14)</f>
        <v>566</v>
      </c>
      <c r="G15" s="28">
        <v>3</v>
      </c>
      <c r="H15" s="32">
        <f>SUM(H14,G15)</f>
        <v>659</v>
      </c>
      <c r="I15" s="28">
        <v>4</v>
      </c>
      <c r="J15" s="32">
        <f>SUM(J14,I15)</f>
        <v>1225</v>
      </c>
      <c r="K15" s="25">
        <v>1</v>
      </c>
      <c r="L15" s="32">
        <f>SUM(L14,K15)</f>
        <v>794</v>
      </c>
    </row>
    <row r="16" spans="1:12" x14ac:dyDescent="0.25">
      <c r="A16" s="24">
        <v>46127</v>
      </c>
      <c r="B16" s="27" t="s">
        <v>30</v>
      </c>
      <c r="C16" s="27" t="s">
        <v>28</v>
      </c>
      <c r="D16" s="27" t="s">
        <v>29</v>
      </c>
      <c r="E16" s="28">
        <v>0</v>
      </c>
      <c r="F16" s="32">
        <f>SUM(E16,F15)</f>
        <v>566</v>
      </c>
      <c r="G16" s="28">
        <v>5</v>
      </c>
      <c r="H16" s="32">
        <f>SUM(H15,G16)</f>
        <v>664</v>
      </c>
      <c r="I16" s="28">
        <v>5</v>
      </c>
      <c r="J16" s="32">
        <f>SUM(J15,I16)</f>
        <v>1230</v>
      </c>
      <c r="K16" s="25">
        <v>0</v>
      </c>
      <c r="L16" s="32">
        <f>SUM(L15,K16)</f>
        <v>794</v>
      </c>
    </row>
    <row r="17" spans="1:12" x14ac:dyDescent="0.25">
      <c r="A17" s="24">
        <v>46128</v>
      </c>
      <c r="B17" s="27" t="s">
        <v>30</v>
      </c>
      <c r="C17" s="27" t="s">
        <v>28</v>
      </c>
      <c r="D17" s="27" t="s">
        <v>29</v>
      </c>
      <c r="E17" s="28"/>
      <c r="F17" s="32"/>
      <c r="G17" s="28"/>
      <c r="H17" s="32"/>
      <c r="I17" s="28"/>
      <c r="J17" s="32"/>
      <c r="K17" s="25"/>
      <c r="L17" s="32"/>
    </row>
    <row r="18" spans="1:12" x14ac:dyDescent="0.25">
      <c r="A18" s="24">
        <v>46129</v>
      </c>
      <c r="B18" s="27" t="s">
        <v>30</v>
      </c>
      <c r="C18" s="27" t="s">
        <v>28</v>
      </c>
      <c r="D18" s="27" t="s">
        <v>29</v>
      </c>
      <c r="E18" s="28"/>
      <c r="F18" s="32"/>
      <c r="G18" s="28"/>
      <c r="H18" s="32"/>
      <c r="I18" s="28"/>
      <c r="J18" s="32"/>
      <c r="K18" s="25"/>
      <c r="L18" s="32"/>
    </row>
    <row r="19" spans="1:12" x14ac:dyDescent="0.25">
      <c r="A19" s="24">
        <v>46130</v>
      </c>
      <c r="B19" s="27" t="s">
        <v>30</v>
      </c>
      <c r="C19" s="27" t="s">
        <v>28</v>
      </c>
      <c r="D19" s="27" t="s">
        <v>29</v>
      </c>
      <c r="E19" s="28"/>
      <c r="F19" s="32"/>
      <c r="G19" s="28"/>
      <c r="H19" s="32"/>
      <c r="I19" s="28"/>
      <c r="J19" s="32"/>
      <c r="K19" s="25"/>
      <c r="L19" s="32"/>
    </row>
    <row r="20" spans="1:12" x14ac:dyDescent="0.25">
      <c r="A20" s="24">
        <v>46131</v>
      </c>
      <c r="B20" s="27" t="s">
        <v>30</v>
      </c>
      <c r="C20" s="27" t="s">
        <v>28</v>
      </c>
      <c r="D20" s="27" t="s">
        <v>29</v>
      </c>
      <c r="E20" s="28"/>
      <c r="F20" s="32"/>
      <c r="G20" s="28"/>
      <c r="H20" s="32"/>
      <c r="I20" s="28"/>
      <c r="J20" s="32"/>
      <c r="K20" s="25"/>
      <c r="L20" s="32"/>
    </row>
    <row r="21" spans="1:12" x14ac:dyDescent="0.25">
      <c r="A21" s="24">
        <v>46132</v>
      </c>
      <c r="B21" s="27" t="s">
        <v>30</v>
      </c>
      <c r="C21" s="27" t="s">
        <v>28</v>
      </c>
      <c r="D21" s="27" t="s">
        <v>29</v>
      </c>
      <c r="E21" s="28"/>
      <c r="F21" s="32"/>
      <c r="G21" s="28"/>
      <c r="H21" s="32"/>
      <c r="I21" s="28"/>
      <c r="J21" s="32"/>
      <c r="K21" s="25"/>
      <c r="L21" s="32"/>
    </row>
    <row r="22" spans="1:12" x14ac:dyDescent="0.25">
      <c r="A22" s="24">
        <v>46133</v>
      </c>
      <c r="B22" s="27" t="s">
        <v>30</v>
      </c>
      <c r="C22" s="27" t="s">
        <v>28</v>
      </c>
      <c r="D22" s="27" t="s">
        <v>29</v>
      </c>
      <c r="E22" s="28"/>
      <c r="F22" s="32"/>
      <c r="G22" s="28"/>
      <c r="H22" s="32"/>
      <c r="I22" s="28"/>
      <c r="J22" s="32"/>
      <c r="K22" s="25"/>
      <c r="L22" s="32"/>
    </row>
    <row r="23" spans="1:12" x14ac:dyDescent="0.25">
      <c r="A23" s="24">
        <v>46134</v>
      </c>
      <c r="B23" s="27" t="s">
        <v>30</v>
      </c>
      <c r="C23" s="27" t="s">
        <v>28</v>
      </c>
      <c r="D23" s="27" t="s">
        <v>29</v>
      </c>
      <c r="E23" s="28"/>
      <c r="F23" s="32"/>
      <c r="G23" s="28"/>
      <c r="H23" s="32"/>
      <c r="I23" s="28"/>
      <c r="J23" s="32"/>
      <c r="K23" s="25"/>
      <c r="L23" s="32"/>
    </row>
    <row r="24" spans="1:12" x14ac:dyDescent="0.25">
      <c r="A24" s="24">
        <v>46135</v>
      </c>
      <c r="B24" s="27" t="s">
        <v>30</v>
      </c>
      <c r="C24" s="27" t="s">
        <v>28</v>
      </c>
      <c r="D24" s="27" t="s">
        <v>29</v>
      </c>
      <c r="E24" s="28"/>
      <c r="F24" s="32"/>
      <c r="G24" s="28"/>
      <c r="H24" s="32"/>
      <c r="I24" s="28"/>
      <c r="J24" s="32"/>
      <c r="K24" s="25"/>
      <c r="L24" s="32"/>
    </row>
    <row r="25" spans="1:12" x14ac:dyDescent="0.25">
      <c r="A25" s="24">
        <v>46136</v>
      </c>
      <c r="B25" s="27" t="s">
        <v>30</v>
      </c>
      <c r="C25" s="27" t="s">
        <v>28</v>
      </c>
      <c r="D25" s="27" t="s">
        <v>29</v>
      </c>
      <c r="E25" s="28"/>
      <c r="F25" s="32"/>
      <c r="G25" s="28"/>
      <c r="H25" s="32"/>
      <c r="I25" s="28"/>
      <c r="J25" s="32"/>
      <c r="K25" s="25"/>
      <c r="L25" s="32"/>
    </row>
    <row r="26" spans="1:12" x14ac:dyDescent="0.25">
      <c r="A26" s="24">
        <v>46137</v>
      </c>
      <c r="B26" s="27" t="s">
        <v>30</v>
      </c>
      <c r="C26" s="27" t="s">
        <v>28</v>
      </c>
      <c r="D26" s="27" t="s">
        <v>29</v>
      </c>
      <c r="E26" s="28"/>
      <c r="F26" s="32"/>
      <c r="G26" s="28"/>
      <c r="H26" s="32"/>
      <c r="I26" s="28"/>
      <c r="J26" s="32"/>
      <c r="K26" s="25"/>
      <c r="L26" s="32"/>
    </row>
    <row r="27" spans="1:12" x14ac:dyDescent="0.25">
      <c r="A27" s="24">
        <v>46138</v>
      </c>
    </row>
  </sheetData>
  <mergeCells count="8">
    <mergeCell ref="A1:A2"/>
    <mergeCell ref="B1:B2"/>
    <mergeCell ref="C1:C2"/>
    <mergeCell ref="D1:D2"/>
    <mergeCell ref="K1:L1"/>
    <mergeCell ref="I1:J1"/>
    <mergeCell ref="E1:F1"/>
    <mergeCell ref="G1:H1"/>
  </mergeCells>
  <phoneticPr fontId="15" type="noConversion"/>
  <pageMargins left="0.7" right="0.7" top="0.75" bottom="0.75" header="0.3" footer="0.3"/>
  <pageSetup paperSize="9" scale="93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7"/>
  <sheetViews>
    <sheetView rightToLeft="1" tabSelected="1" zoomScale="98" zoomScaleNormal="98" workbookViewId="0">
      <pane ySplit="1" topLeftCell="A9" activePane="bottomLeft" state="frozen"/>
      <selection activeCell="D1" sqref="D1"/>
      <selection pane="bottomLeft" activeCell="K15" sqref="K15"/>
    </sheetView>
  </sheetViews>
  <sheetFormatPr defaultColWidth="9" defaultRowHeight="27" customHeight="1" x14ac:dyDescent="0.25"/>
  <cols>
    <col min="1" max="1" width="12.5703125" bestFit="1" customWidth="1"/>
    <col min="2" max="3" width="10" style="2"/>
    <col min="4" max="4" width="35" customWidth="1"/>
    <col min="5" max="5" width="10" style="2" customWidth="1"/>
    <col min="6" max="6" width="10" style="31" customWidth="1"/>
    <col min="7" max="7" width="10" style="2" customWidth="1"/>
    <col min="8" max="8" width="10" style="31" customWidth="1"/>
    <col min="9" max="9" width="10" style="2" customWidth="1"/>
    <col min="10" max="10" width="10" style="31" customWidth="1"/>
    <col min="11" max="11" width="10" style="2" customWidth="1"/>
    <col min="12" max="12" width="10" style="31" customWidth="1"/>
    <col min="13" max="13" width="10" style="2" customWidth="1"/>
    <col min="14" max="14" width="10" style="31" customWidth="1"/>
    <col min="15" max="256" width="10" customWidth="1"/>
  </cols>
  <sheetData>
    <row r="1" spans="1:14" ht="31.5" customHeight="1" x14ac:dyDescent="0.25">
      <c r="A1" s="37" t="s">
        <v>20</v>
      </c>
      <c r="B1" s="37" t="s">
        <v>0</v>
      </c>
      <c r="C1" s="37" t="s">
        <v>1</v>
      </c>
      <c r="D1" s="37" t="s">
        <v>2</v>
      </c>
      <c r="E1" s="39" t="s">
        <v>15</v>
      </c>
      <c r="F1" s="40"/>
      <c r="G1" s="39" t="s">
        <v>27</v>
      </c>
      <c r="H1" s="40"/>
      <c r="I1" s="39" t="s">
        <v>16</v>
      </c>
      <c r="J1" s="40"/>
      <c r="K1" s="39" t="s">
        <v>25</v>
      </c>
      <c r="L1" s="40"/>
      <c r="M1" s="39" t="s">
        <v>17</v>
      </c>
      <c r="N1" s="40"/>
    </row>
    <row r="2" spans="1:14" ht="27" customHeight="1" x14ac:dyDescent="0.25">
      <c r="A2" s="38"/>
      <c r="B2" s="38"/>
      <c r="C2" s="38"/>
      <c r="D2" s="38"/>
      <c r="E2" s="11" t="s">
        <v>12</v>
      </c>
      <c r="F2" s="30" t="s">
        <v>14</v>
      </c>
      <c r="G2" s="11" t="s">
        <v>12</v>
      </c>
      <c r="H2" s="30" t="s">
        <v>14</v>
      </c>
      <c r="I2" s="11" t="s">
        <v>12</v>
      </c>
      <c r="J2" s="30" t="s">
        <v>14</v>
      </c>
      <c r="K2" s="11" t="s">
        <v>12</v>
      </c>
      <c r="L2" s="30" t="s">
        <v>14</v>
      </c>
      <c r="M2" s="11" t="s">
        <v>12</v>
      </c>
      <c r="N2" s="30" t="s">
        <v>14</v>
      </c>
    </row>
    <row r="3" spans="1:14" ht="27" customHeight="1" x14ac:dyDescent="0.25">
      <c r="A3" s="15">
        <v>46111</v>
      </c>
      <c r="B3" s="16" t="s">
        <v>30</v>
      </c>
      <c r="C3" s="16" t="s">
        <v>28</v>
      </c>
      <c r="D3" s="16" t="s">
        <v>29</v>
      </c>
      <c r="E3" s="12">
        <v>2</v>
      </c>
      <c r="F3" s="30">
        <v>783</v>
      </c>
      <c r="G3" s="14">
        <v>1</v>
      </c>
      <c r="H3" s="30">
        <v>620</v>
      </c>
      <c r="I3" s="13">
        <v>0</v>
      </c>
      <c r="J3" s="30">
        <v>619</v>
      </c>
      <c r="K3" s="13">
        <v>0</v>
      </c>
      <c r="L3" s="30">
        <v>617</v>
      </c>
      <c r="M3" s="13">
        <v>0</v>
      </c>
      <c r="N3" s="30">
        <v>586</v>
      </c>
    </row>
    <row r="4" spans="1:14" ht="27" customHeight="1" x14ac:dyDescent="0.25">
      <c r="A4" s="15">
        <v>46112</v>
      </c>
      <c r="B4" s="16" t="s">
        <v>30</v>
      </c>
      <c r="C4" s="16" t="s">
        <v>28</v>
      </c>
      <c r="D4" s="16" t="s">
        <v>29</v>
      </c>
      <c r="E4" s="12">
        <v>1</v>
      </c>
      <c r="F4" s="30">
        <v>784</v>
      </c>
      <c r="G4" s="14">
        <v>1</v>
      </c>
      <c r="H4" s="30">
        <v>621</v>
      </c>
      <c r="I4" s="13">
        <v>0</v>
      </c>
      <c r="J4" s="30">
        <v>619</v>
      </c>
      <c r="K4" s="13">
        <v>0</v>
      </c>
      <c r="L4" s="30">
        <v>617</v>
      </c>
      <c r="M4" s="13">
        <v>0</v>
      </c>
      <c r="N4" s="30">
        <v>586</v>
      </c>
    </row>
    <row r="5" spans="1:14" ht="27" customHeight="1" x14ac:dyDescent="0.25">
      <c r="A5" s="15">
        <v>46113</v>
      </c>
      <c r="B5" s="16" t="s">
        <v>30</v>
      </c>
      <c r="C5" s="16" t="s">
        <v>28</v>
      </c>
      <c r="D5" s="16" t="s">
        <v>29</v>
      </c>
      <c r="E5" s="17">
        <v>1</v>
      </c>
      <c r="F5" s="30">
        <f t="shared" ref="F5" si="0">SUM(F4,E5)</f>
        <v>785</v>
      </c>
      <c r="G5" s="19">
        <v>1</v>
      </c>
      <c r="H5" s="30">
        <f t="shared" ref="H5" si="1">SUM(H4,G5)</f>
        <v>622</v>
      </c>
      <c r="I5" s="18">
        <v>0</v>
      </c>
      <c r="J5" s="30">
        <f t="shared" ref="J5" si="2">SUM(J4,I5)</f>
        <v>619</v>
      </c>
      <c r="K5" s="18">
        <v>0</v>
      </c>
      <c r="L5" s="30">
        <f t="shared" ref="L5" si="3">SUM(L4,K5)</f>
        <v>617</v>
      </c>
      <c r="M5" s="18">
        <v>0</v>
      </c>
      <c r="N5" s="30">
        <f t="shared" ref="N5" si="4">SUM(N4,M5)</f>
        <v>586</v>
      </c>
    </row>
    <row r="6" spans="1:14" ht="27" customHeight="1" x14ac:dyDescent="0.25">
      <c r="A6" s="15">
        <v>46114</v>
      </c>
      <c r="B6" s="16" t="s">
        <v>30</v>
      </c>
      <c r="C6" s="16" t="s">
        <v>28</v>
      </c>
      <c r="D6" s="16" t="s">
        <v>29</v>
      </c>
      <c r="E6" s="17">
        <v>0</v>
      </c>
      <c r="F6" s="30">
        <f t="shared" ref="F6" si="5">SUM(F5,E6)</f>
        <v>785</v>
      </c>
      <c r="G6" s="19">
        <v>0</v>
      </c>
      <c r="H6" s="30">
        <f t="shared" ref="H6" si="6">SUM(H5,G6)</f>
        <v>622</v>
      </c>
      <c r="I6" s="18">
        <v>0</v>
      </c>
      <c r="J6" s="30">
        <f t="shared" ref="J6" si="7">SUM(J5,I6)</f>
        <v>619</v>
      </c>
      <c r="K6" s="18">
        <v>0</v>
      </c>
      <c r="L6" s="30">
        <f t="shared" ref="L6" si="8">SUM(L5,K6)</f>
        <v>617</v>
      </c>
      <c r="M6" s="18">
        <v>0</v>
      </c>
      <c r="N6" s="30">
        <f t="shared" ref="N6" si="9">SUM(N5,M6)</f>
        <v>586</v>
      </c>
    </row>
    <row r="7" spans="1:14" ht="27" customHeight="1" x14ac:dyDescent="0.25">
      <c r="A7" s="15">
        <v>46116</v>
      </c>
      <c r="B7" s="16" t="s">
        <v>30</v>
      </c>
      <c r="C7" s="16" t="s">
        <v>28</v>
      </c>
      <c r="D7" s="16" t="s">
        <v>29</v>
      </c>
      <c r="E7" s="17">
        <v>1</v>
      </c>
      <c r="F7" s="30">
        <f t="shared" ref="F7" si="10">SUM(F6,E7)</f>
        <v>786</v>
      </c>
      <c r="G7" s="19">
        <v>1</v>
      </c>
      <c r="H7" s="30">
        <f t="shared" ref="H7" si="11">SUM(H6,G7)</f>
        <v>623</v>
      </c>
      <c r="I7" s="18">
        <v>0</v>
      </c>
      <c r="J7" s="30">
        <f t="shared" ref="J7" si="12">SUM(J6,I7)</f>
        <v>619</v>
      </c>
      <c r="K7" s="18">
        <v>0</v>
      </c>
      <c r="L7" s="30">
        <f t="shared" ref="L7" si="13">SUM(L6,K7)</f>
        <v>617</v>
      </c>
      <c r="M7" s="18">
        <v>0</v>
      </c>
      <c r="N7" s="30">
        <f t="shared" ref="N7" si="14">SUM(N6,M7)</f>
        <v>586</v>
      </c>
    </row>
    <row r="8" spans="1:14" ht="27" customHeight="1" x14ac:dyDescent="0.25">
      <c r="A8" s="15">
        <v>46117</v>
      </c>
      <c r="B8" s="16" t="s">
        <v>30</v>
      </c>
      <c r="C8" s="16" t="s">
        <v>28</v>
      </c>
      <c r="D8" s="16" t="s">
        <v>29</v>
      </c>
      <c r="E8" s="17">
        <v>1</v>
      </c>
      <c r="F8" s="30">
        <f t="shared" ref="F8" si="15">SUM(F7,E8)</f>
        <v>787</v>
      </c>
      <c r="G8" s="19">
        <v>1</v>
      </c>
      <c r="H8" s="30">
        <f t="shared" ref="H8" si="16">SUM(H7,G8)</f>
        <v>624</v>
      </c>
      <c r="I8" s="18">
        <v>6</v>
      </c>
      <c r="J8" s="30">
        <f t="shared" ref="J8" si="17">SUM(J7,I8)</f>
        <v>625</v>
      </c>
      <c r="K8" s="18">
        <v>6</v>
      </c>
      <c r="L8" s="30">
        <f t="shared" ref="L8" si="18">SUM(L7,K8)</f>
        <v>623</v>
      </c>
      <c r="M8" s="18">
        <v>2</v>
      </c>
      <c r="N8" s="30">
        <f t="shared" ref="N8" si="19">SUM(N7,M8)</f>
        <v>588</v>
      </c>
    </row>
    <row r="9" spans="1:14" ht="27" customHeight="1" x14ac:dyDescent="0.25">
      <c r="A9" s="15">
        <v>46118</v>
      </c>
      <c r="B9" s="16" t="s">
        <v>30</v>
      </c>
      <c r="C9" s="16" t="s">
        <v>28</v>
      </c>
      <c r="D9" s="16" t="s">
        <v>29</v>
      </c>
      <c r="E9" s="17">
        <v>3</v>
      </c>
      <c r="F9" s="30">
        <f t="shared" ref="F9" si="20">SUM(F8,E9)</f>
        <v>790</v>
      </c>
      <c r="G9" s="19">
        <v>2</v>
      </c>
      <c r="H9" s="30">
        <f t="shared" ref="H9" si="21">SUM(H8,G9)</f>
        <v>626</v>
      </c>
      <c r="I9" s="18">
        <v>0</v>
      </c>
      <c r="J9" s="30">
        <f t="shared" ref="J9" si="22">SUM(J8,I9)</f>
        <v>625</v>
      </c>
      <c r="K9" s="18">
        <v>0</v>
      </c>
      <c r="L9" s="30">
        <f t="shared" ref="L9" si="23">SUM(L8,K9)</f>
        <v>623</v>
      </c>
      <c r="M9" s="18">
        <v>0</v>
      </c>
      <c r="N9" s="30">
        <f t="shared" ref="N9" si="24">SUM(N8,M9)</f>
        <v>588</v>
      </c>
    </row>
    <row r="10" spans="1:14" ht="27" customHeight="1" x14ac:dyDescent="0.25">
      <c r="A10" s="15">
        <v>46119</v>
      </c>
      <c r="B10" s="16" t="s">
        <v>30</v>
      </c>
      <c r="C10" s="16" t="s">
        <v>28</v>
      </c>
      <c r="D10" s="16" t="s">
        <v>29</v>
      </c>
      <c r="E10" s="17">
        <v>0</v>
      </c>
      <c r="F10" s="30">
        <f t="shared" ref="F10:F11" si="25">SUM(F9,E10)</f>
        <v>790</v>
      </c>
      <c r="G10" s="19">
        <v>0</v>
      </c>
      <c r="H10" s="30">
        <f t="shared" ref="H10:H11" si="26">SUM(H9,G10)</f>
        <v>626</v>
      </c>
      <c r="I10" s="18">
        <v>0</v>
      </c>
      <c r="J10" s="30">
        <f t="shared" ref="J10:J11" si="27">SUM(J9,I10)</f>
        <v>625</v>
      </c>
      <c r="K10" s="18">
        <v>0</v>
      </c>
      <c r="L10" s="30">
        <f t="shared" ref="L10:L11" si="28">SUM(L9,K10)</f>
        <v>623</v>
      </c>
      <c r="M10" s="18">
        <v>0</v>
      </c>
      <c r="N10" s="30">
        <f t="shared" ref="N10:N11" si="29">SUM(N9,M10)</f>
        <v>588</v>
      </c>
    </row>
    <row r="11" spans="1:14" ht="27" customHeight="1" x14ac:dyDescent="0.25">
      <c r="A11" s="15">
        <v>46120</v>
      </c>
      <c r="B11" s="16" t="s">
        <v>30</v>
      </c>
      <c r="C11" s="16" t="s">
        <v>28</v>
      </c>
      <c r="D11" s="16" t="s">
        <v>29</v>
      </c>
      <c r="E11" s="17">
        <v>1</v>
      </c>
      <c r="F11" s="30">
        <f t="shared" si="25"/>
        <v>791</v>
      </c>
      <c r="G11" s="19">
        <v>1</v>
      </c>
      <c r="H11" s="30">
        <f t="shared" si="26"/>
        <v>627</v>
      </c>
      <c r="I11" s="18">
        <v>13</v>
      </c>
      <c r="J11" s="30">
        <f t="shared" si="27"/>
        <v>638</v>
      </c>
      <c r="K11" s="18">
        <v>13</v>
      </c>
      <c r="L11" s="30">
        <f t="shared" si="28"/>
        <v>636</v>
      </c>
      <c r="M11" s="18">
        <v>0</v>
      </c>
      <c r="N11" s="30">
        <f t="shared" si="29"/>
        <v>588</v>
      </c>
    </row>
    <row r="12" spans="1:14" ht="27" customHeight="1" x14ac:dyDescent="0.25">
      <c r="A12" s="15">
        <v>46121</v>
      </c>
      <c r="B12" s="16" t="s">
        <v>30</v>
      </c>
      <c r="C12" s="16" t="s">
        <v>28</v>
      </c>
      <c r="D12" s="16" t="s">
        <v>29</v>
      </c>
      <c r="E12" s="17">
        <v>0</v>
      </c>
      <c r="F12" s="30">
        <f t="shared" ref="F12:F13" si="30">SUM(F11,E12)</f>
        <v>791</v>
      </c>
      <c r="G12" s="19">
        <v>0</v>
      </c>
      <c r="H12" s="30">
        <f t="shared" ref="H12:H13" si="31">SUM(H11,G12)</f>
        <v>627</v>
      </c>
      <c r="I12" s="18">
        <v>0</v>
      </c>
      <c r="J12" s="30">
        <f t="shared" ref="J12:J13" si="32">SUM(J11,I12)</f>
        <v>638</v>
      </c>
      <c r="K12" s="18">
        <v>0</v>
      </c>
      <c r="L12" s="30">
        <f t="shared" ref="L12:L13" si="33">SUM(L11,K12)</f>
        <v>636</v>
      </c>
      <c r="M12" s="18">
        <v>0</v>
      </c>
      <c r="N12" s="30">
        <f t="shared" ref="N12:N13" si="34">SUM(N11,M12)</f>
        <v>588</v>
      </c>
    </row>
    <row r="13" spans="1:14" ht="27" customHeight="1" x14ac:dyDescent="0.25">
      <c r="A13" s="15">
        <v>46123</v>
      </c>
      <c r="B13" s="16" t="s">
        <v>30</v>
      </c>
      <c r="C13" s="16" t="s">
        <v>28</v>
      </c>
      <c r="D13" s="16" t="s">
        <v>29</v>
      </c>
      <c r="E13" s="17">
        <v>1</v>
      </c>
      <c r="F13" s="30">
        <f t="shared" si="30"/>
        <v>792</v>
      </c>
      <c r="G13" s="19">
        <v>0</v>
      </c>
      <c r="H13" s="30">
        <f t="shared" si="31"/>
        <v>627</v>
      </c>
      <c r="I13" s="18">
        <v>0</v>
      </c>
      <c r="J13" s="30">
        <f t="shared" si="32"/>
        <v>638</v>
      </c>
      <c r="K13" s="18">
        <v>0</v>
      </c>
      <c r="L13" s="30">
        <f t="shared" si="33"/>
        <v>636</v>
      </c>
      <c r="M13" s="18">
        <v>0</v>
      </c>
      <c r="N13" s="30">
        <f t="shared" si="34"/>
        <v>588</v>
      </c>
    </row>
    <row r="14" spans="1:14" ht="27" customHeight="1" x14ac:dyDescent="0.25">
      <c r="A14" s="15">
        <v>46124</v>
      </c>
      <c r="B14" s="16" t="s">
        <v>30</v>
      </c>
      <c r="C14" s="16" t="s">
        <v>28</v>
      </c>
      <c r="D14" s="16" t="s">
        <v>29</v>
      </c>
      <c r="E14" s="17">
        <v>1</v>
      </c>
      <c r="F14" s="30">
        <f t="shared" ref="F14" si="35">SUM(F13,E14)</f>
        <v>793</v>
      </c>
      <c r="G14" s="19">
        <v>1</v>
      </c>
      <c r="H14" s="30">
        <f t="shared" ref="H14" si="36">SUM(H13,G14)</f>
        <v>628</v>
      </c>
      <c r="I14" s="18">
        <v>3</v>
      </c>
      <c r="J14" s="30">
        <f t="shared" ref="J14" si="37">SUM(J13,I14)</f>
        <v>641</v>
      </c>
      <c r="K14" s="18">
        <v>3</v>
      </c>
      <c r="L14" s="30">
        <f t="shared" ref="L14" si="38">SUM(L13,K14)</f>
        <v>639</v>
      </c>
      <c r="M14" s="18">
        <v>0</v>
      </c>
      <c r="N14" s="30">
        <f t="shared" ref="N14" si="39">SUM(N13,M14)</f>
        <v>588</v>
      </c>
    </row>
    <row r="15" spans="1:14" ht="27" customHeight="1" x14ac:dyDescent="0.25">
      <c r="A15" s="15">
        <v>46126</v>
      </c>
      <c r="B15" s="16" t="s">
        <v>30</v>
      </c>
      <c r="C15" s="16" t="s">
        <v>28</v>
      </c>
      <c r="D15" s="16" t="s">
        <v>29</v>
      </c>
      <c r="E15" s="17">
        <v>1</v>
      </c>
      <c r="F15" s="30">
        <f t="shared" ref="F15" si="40">SUM(F14,E15)</f>
        <v>794</v>
      </c>
      <c r="G15" s="19">
        <v>1</v>
      </c>
      <c r="H15" s="30">
        <f t="shared" ref="H15" si="41">SUM(H14,G15)</f>
        <v>629</v>
      </c>
      <c r="I15" s="18">
        <v>0</v>
      </c>
      <c r="J15" s="30">
        <f t="shared" ref="J15" si="42">SUM(J14,I15)</f>
        <v>641</v>
      </c>
      <c r="K15" s="18">
        <v>0</v>
      </c>
      <c r="L15" s="30">
        <f t="shared" ref="L15" si="43">SUM(L14,K15)</f>
        <v>639</v>
      </c>
      <c r="M15" s="18">
        <v>5</v>
      </c>
      <c r="N15" s="30">
        <f t="shared" ref="N15" si="44">SUM(N14,M15)</f>
        <v>593</v>
      </c>
    </row>
    <row r="16" spans="1:14" ht="27" customHeight="1" x14ac:dyDescent="0.25">
      <c r="A16" s="15">
        <v>46127</v>
      </c>
      <c r="B16" s="16" t="s">
        <v>30</v>
      </c>
      <c r="C16" s="16" t="s">
        <v>28</v>
      </c>
      <c r="D16" s="16" t="s">
        <v>29</v>
      </c>
      <c r="E16" s="17">
        <v>0</v>
      </c>
      <c r="F16" s="30">
        <f t="shared" ref="F16" si="45">SUM(F15,E16)</f>
        <v>794</v>
      </c>
      <c r="G16" s="19">
        <v>0</v>
      </c>
      <c r="H16" s="30">
        <f t="shared" ref="H16" si="46">SUM(H15,G16)</f>
        <v>629</v>
      </c>
      <c r="I16" s="18">
        <v>6</v>
      </c>
      <c r="J16" s="30">
        <f t="shared" ref="J16" si="47">SUM(J15,I16)</f>
        <v>647</v>
      </c>
      <c r="K16" s="18">
        <v>6</v>
      </c>
      <c r="L16" s="30">
        <f t="shared" ref="L16" si="48">SUM(L15,K16)</f>
        <v>645</v>
      </c>
      <c r="M16" s="18">
        <v>0</v>
      </c>
      <c r="N16" s="30">
        <f t="shared" ref="N16" si="49">SUM(N15,M16)</f>
        <v>593</v>
      </c>
    </row>
    <row r="17" spans="1:14" ht="27" customHeight="1" x14ac:dyDescent="0.25">
      <c r="A17" s="15">
        <v>46128</v>
      </c>
      <c r="B17" s="16" t="s">
        <v>30</v>
      </c>
      <c r="C17" s="16" t="s">
        <v>28</v>
      </c>
      <c r="D17" s="16" t="s">
        <v>29</v>
      </c>
      <c r="E17" s="17"/>
      <c r="F17" s="30"/>
      <c r="G17" s="19"/>
      <c r="H17" s="30"/>
      <c r="I17" s="18"/>
      <c r="J17" s="30"/>
      <c r="K17" s="18"/>
      <c r="L17" s="30"/>
      <c r="M17" s="18"/>
      <c r="N17" s="30"/>
    </row>
    <row r="18" spans="1:14" ht="27" customHeight="1" x14ac:dyDescent="0.25">
      <c r="A18" s="15">
        <v>46129</v>
      </c>
      <c r="B18" s="16" t="s">
        <v>30</v>
      </c>
      <c r="C18" s="16" t="s">
        <v>28</v>
      </c>
      <c r="D18" s="16" t="s">
        <v>29</v>
      </c>
      <c r="E18" s="17"/>
      <c r="F18" s="30"/>
      <c r="G18" s="19"/>
      <c r="H18" s="30"/>
      <c r="I18" s="18"/>
      <c r="J18" s="30"/>
      <c r="K18" s="18"/>
      <c r="L18" s="30"/>
      <c r="M18" s="18"/>
      <c r="N18" s="30"/>
    </row>
    <row r="19" spans="1:14" ht="27" customHeight="1" x14ac:dyDescent="0.25">
      <c r="A19" s="15">
        <v>46130</v>
      </c>
      <c r="B19" s="16" t="s">
        <v>30</v>
      </c>
      <c r="C19" s="16" t="s">
        <v>28</v>
      </c>
      <c r="D19" s="16" t="s">
        <v>29</v>
      </c>
      <c r="E19" s="17"/>
      <c r="F19" s="30"/>
      <c r="G19" s="19"/>
      <c r="H19" s="30"/>
      <c r="I19" s="18"/>
      <c r="J19" s="30"/>
      <c r="K19" s="18"/>
      <c r="L19" s="30"/>
      <c r="M19" s="18"/>
      <c r="N19" s="30"/>
    </row>
    <row r="20" spans="1:14" ht="27" customHeight="1" x14ac:dyDescent="0.25">
      <c r="A20" s="15">
        <v>46131</v>
      </c>
      <c r="B20" s="16" t="s">
        <v>30</v>
      </c>
      <c r="C20" s="16" t="s">
        <v>28</v>
      </c>
      <c r="D20" s="16" t="s">
        <v>29</v>
      </c>
      <c r="E20" s="17"/>
      <c r="F20" s="30"/>
      <c r="G20" s="19"/>
      <c r="H20" s="30"/>
      <c r="I20" s="18"/>
      <c r="J20" s="30"/>
      <c r="K20" s="18"/>
      <c r="L20" s="30"/>
      <c r="M20" s="18"/>
      <c r="N20" s="30"/>
    </row>
    <row r="21" spans="1:14" ht="27" customHeight="1" x14ac:dyDescent="0.25">
      <c r="A21" s="15">
        <v>46132</v>
      </c>
      <c r="B21" s="16" t="s">
        <v>30</v>
      </c>
      <c r="C21" s="16" t="s">
        <v>28</v>
      </c>
      <c r="D21" s="16" t="s">
        <v>29</v>
      </c>
      <c r="E21" s="17"/>
      <c r="F21" s="30"/>
      <c r="G21" s="19"/>
      <c r="H21" s="30"/>
      <c r="I21" s="18"/>
      <c r="J21" s="30"/>
      <c r="K21" s="18"/>
      <c r="L21" s="30"/>
      <c r="M21" s="18"/>
      <c r="N21" s="30"/>
    </row>
    <row r="22" spans="1:14" ht="27" customHeight="1" x14ac:dyDescent="0.25">
      <c r="A22" s="15">
        <v>46133</v>
      </c>
      <c r="B22" s="16" t="s">
        <v>30</v>
      </c>
      <c r="C22" s="16" t="s">
        <v>28</v>
      </c>
      <c r="D22" s="16" t="s">
        <v>29</v>
      </c>
      <c r="E22" s="17"/>
      <c r="F22" s="30"/>
      <c r="G22" s="19"/>
      <c r="H22" s="30"/>
      <c r="I22" s="18"/>
      <c r="J22" s="30"/>
      <c r="K22" s="18"/>
      <c r="L22" s="30"/>
      <c r="M22" s="18"/>
      <c r="N22" s="30"/>
    </row>
    <row r="23" spans="1:14" ht="27" customHeight="1" x14ac:dyDescent="0.25">
      <c r="A23" s="15">
        <v>46134</v>
      </c>
      <c r="B23" s="16" t="s">
        <v>30</v>
      </c>
      <c r="C23" s="16" t="s">
        <v>28</v>
      </c>
      <c r="D23" s="16" t="s">
        <v>29</v>
      </c>
      <c r="E23" s="17"/>
      <c r="F23" s="30"/>
      <c r="G23" s="19"/>
      <c r="H23" s="30"/>
      <c r="I23" s="18"/>
      <c r="J23" s="30"/>
      <c r="K23" s="18"/>
      <c r="L23" s="30"/>
      <c r="M23" s="18"/>
      <c r="N23" s="30"/>
    </row>
    <row r="24" spans="1:14" ht="27" customHeight="1" x14ac:dyDescent="0.25">
      <c r="A24" s="15">
        <v>46134</v>
      </c>
      <c r="B24" s="16" t="s">
        <v>30</v>
      </c>
      <c r="C24" s="16" t="s">
        <v>28</v>
      </c>
      <c r="D24" s="16" t="s">
        <v>29</v>
      </c>
      <c r="E24" s="17"/>
      <c r="F24" s="30"/>
      <c r="G24" s="19"/>
      <c r="H24" s="30"/>
      <c r="I24" s="18"/>
      <c r="J24" s="30"/>
      <c r="K24" s="18"/>
      <c r="L24" s="30"/>
      <c r="M24" s="18"/>
      <c r="N24" s="30"/>
    </row>
    <row r="25" spans="1:14" ht="27" customHeight="1" x14ac:dyDescent="0.25">
      <c r="A25" s="15">
        <v>46135</v>
      </c>
      <c r="B25" s="16" t="s">
        <v>30</v>
      </c>
      <c r="C25" s="16" t="s">
        <v>28</v>
      </c>
      <c r="D25" s="16" t="s">
        <v>29</v>
      </c>
      <c r="E25" s="17"/>
      <c r="F25" s="30"/>
      <c r="G25" s="19"/>
      <c r="H25" s="30"/>
      <c r="I25" s="18"/>
      <c r="J25" s="30"/>
      <c r="K25" s="18"/>
      <c r="L25" s="30"/>
      <c r="M25" s="18"/>
      <c r="N25" s="30"/>
    </row>
    <row r="26" spans="1:14" ht="27" customHeight="1" x14ac:dyDescent="0.25">
      <c r="A26" s="15">
        <v>46135</v>
      </c>
      <c r="B26" s="16" t="s">
        <v>30</v>
      </c>
      <c r="C26" s="16" t="s">
        <v>28</v>
      </c>
      <c r="D26" s="16" t="s">
        <v>29</v>
      </c>
      <c r="E26" s="17"/>
      <c r="F26" s="30"/>
      <c r="G26" s="19"/>
      <c r="H26" s="30"/>
      <c r="I26" s="18"/>
      <c r="J26" s="30"/>
      <c r="K26" s="18"/>
      <c r="L26" s="30"/>
      <c r="M26" s="18"/>
      <c r="N26" s="30"/>
    </row>
    <row r="27" spans="1:14" ht="27" customHeight="1" x14ac:dyDescent="0.25">
      <c r="A27" s="15">
        <v>46136</v>
      </c>
      <c r="B27" s="16"/>
      <c r="C27" s="16"/>
      <c r="D27" s="16"/>
      <c r="E27" s="17"/>
      <c r="F27" s="30"/>
      <c r="G27" s="19"/>
      <c r="H27" s="30"/>
      <c r="I27" s="18"/>
      <c r="J27" s="30"/>
      <c r="K27" s="18"/>
      <c r="L27" s="30"/>
      <c r="M27" s="18"/>
      <c r="N27" s="30"/>
    </row>
  </sheetData>
  <mergeCells count="9">
    <mergeCell ref="A1:A2"/>
    <mergeCell ref="B1:B2"/>
    <mergeCell ref="C1:C2"/>
    <mergeCell ref="D1:D2"/>
    <mergeCell ref="M1:N1"/>
    <mergeCell ref="K1:L1"/>
    <mergeCell ref="E1:F1"/>
    <mergeCell ref="G1:H1"/>
    <mergeCell ref="I1:J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0"/>
  <sheetViews>
    <sheetView rightToLeft="1" topLeftCell="B1" zoomScale="91" zoomScaleNormal="91" workbookViewId="0">
      <pane ySplit="1" topLeftCell="A4" activePane="bottomLeft" state="frozen"/>
      <selection activeCell="H1" sqref="H1"/>
      <selection pane="bottomLeft" activeCell="N16" sqref="N16"/>
    </sheetView>
  </sheetViews>
  <sheetFormatPr defaultColWidth="9" defaultRowHeight="18.75" x14ac:dyDescent="0.25"/>
  <cols>
    <col min="1" max="1" width="10" style="3" customWidth="1"/>
    <col min="2" max="2" width="16.5703125" style="3" bestFit="1" customWidth="1"/>
    <col min="3" max="3" width="15.42578125" style="3" customWidth="1"/>
    <col min="4" max="4" width="11.28515625" style="3" customWidth="1"/>
    <col min="5" max="5" width="20" style="3" customWidth="1"/>
    <col min="6" max="6" width="10" style="3" customWidth="1"/>
    <col min="7" max="7" width="10" style="33" customWidth="1"/>
    <col min="8" max="8" width="10" style="3" customWidth="1"/>
    <col min="9" max="9" width="10.140625" style="33" customWidth="1"/>
    <col min="10" max="10" width="10.140625" style="3" customWidth="1"/>
    <col min="11" max="11" width="10.140625" style="33" customWidth="1"/>
    <col min="12" max="12" width="10" style="3" customWidth="1"/>
    <col min="13" max="13" width="10" style="33" customWidth="1"/>
    <col min="14" max="14" width="10" style="3" customWidth="1"/>
    <col min="15" max="15" width="10" style="33" customWidth="1"/>
    <col min="16" max="16" width="10" style="3" customWidth="1"/>
    <col min="17" max="17" width="10" style="33" customWidth="1"/>
    <col min="18" max="18" width="10" style="3" customWidth="1"/>
    <col min="19" max="19" width="10" style="33" customWidth="1"/>
    <col min="20" max="256" width="10" style="3" customWidth="1"/>
    <col min="257" max="16384" width="9" style="3"/>
  </cols>
  <sheetData>
    <row r="1" spans="1:21" ht="69.75" customHeight="1" x14ac:dyDescent="0.25">
      <c r="A1" s="41" t="s">
        <v>3</v>
      </c>
      <c r="B1" s="43" t="s">
        <v>7</v>
      </c>
      <c r="C1" s="41" t="s">
        <v>4</v>
      </c>
      <c r="D1" s="41" t="s">
        <v>5</v>
      </c>
      <c r="E1" s="41" t="s">
        <v>6</v>
      </c>
      <c r="F1" s="44" t="s">
        <v>18</v>
      </c>
      <c r="G1" s="45"/>
      <c r="H1" s="44" t="s">
        <v>19</v>
      </c>
      <c r="I1" s="45"/>
      <c r="J1" s="44" t="s">
        <v>26</v>
      </c>
      <c r="K1" s="45"/>
      <c r="L1" s="43" t="s">
        <v>8</v>
      </c>
      <c r="M1" s="42"/>
      <c r="N1" s="43" t="s">
        <v>9</v>
      </c>
      <c r="O1" s="42"/>
      <c r="P1" s="43" t="s">
        <v>10</v>
      </c>
      <c r="Q1" s="42"/>
      <c r="R1" s="43" t="s">
        <v>11</v>
      </c>
      <c r="S1" s="42"/>
      <c r="U1" s="4"/>
    </row>
    <row r="2" spans="1:21" x14ac:dyDescent="0.25">
      <c r="A2" s="42"/>
      <c r="B2" s="42"/>
      <c r="C2" s="42"/>
      <c r="D2" s="42"/>
      <c r="E2" s="42"/>
      <c r="F2" s="5" t="s">
        <v>12</v>
      </c>
      <c r="G2" s="29" t="s">
        <v>13</v>
      </c>
      <c r="H2" s="5" t="s">
        <v>12</v>
      </c>
      <c r="I2" s="29" t="s">
        <v>13</v>
      </c>
      <c r="J2" s="5" t="s">
        <v>12</v>
      </c>
      <c r="K2" s="29" t="s">
        <v>13</v>
      </c>
      <c r="L2" s="5" t="s">
        <v>12</v>
      </c>
      <c r="M2" s="29" t="s">
        <v>13</v>
      </c>
      <c r="N2" s="5" t="s">
        <v>12</v>
      </c>
      <c r="O2" s="29" t="s">
        <v>13</v>
      </c>
      <c r="P2" s="5" t="s">
        <v>12</v>
      </c>
      <c r="Q2" s="29" t="s">
        <v>13</v>
      </c>
      <c r="R2" s="5" t="s">
        <v>12</v>
      </c>
      <c r="S2" s="29" t="s">
        <v>13</v>
      </c>
      <c r="U2" s="4"/>
    </row>
    <row r="3" spans="1:21" s="6" customFormat="1" x14ac:dyDescent="0.25">
      <c r="A3" s="10">
        <v>1</v>
      </c>
      <c r="B3" s="21">
        <v>46111</v>
      </c>
      <c r="C3" s="22" t="s">
        <v>30</v>
      </c>
      <c r="D3" s="22" t="s">
        <v>28</v>
      </c>
      <c r="E3" s="22" t="s">
        <v>29</v>
      </c>
      <c r="F3" s="20">
        <v>0</v>
      </c>
      <c r="G3" s="29">
        <v>569</v>
      </c>
      <c r="H3" s="20">
        <v>1</v>
      </c>
      <c r="I3" s="29">
        <v>1734</v>
      </c>
      <c r="J3" s="20">
        <v>1</v>
      </c>
      <c r="K3" s="29">
        <v>2303</v>
      </c>
      <c r="L3" s="20">
        <v>0</v>
      </c>
      <c r="M3" s="29">
        <v>130</v>
      </c>
      <c r="N3" s="20">
        <v>0</v>
      </c>
      <c r="O3" s="29">
        <v>7</v>
      </c>
      <c r="P3" s="20">
        <v>0</v>
      </c>
      <c r="Q3" s="29">
        <v>139</v>
      </c>
      <c r="R3" s="20">
        <v>0</v>
      </c>
      <c r="S3" s="29">
        <v>293</v>
      </c>
    </row>
    <row r="4" spans="1:21" s="6" customFormat="1" x14ac:dyDescent="0.25">
      <c r="A4" s="10">
        <v>2</v>
      </c>
      <c r="B4" s="21">
        <v>46112</v>
      </c>
      <c r="C4" s="22" t="s">
        <v>30</v>
      </c>
      <c r="D4" s="22" t="s">
        <v>28</v>
      </c>
      <c r="E4" s="22" t="s">
        <v>29</v>
      </c>
      <c r="F4" s="20">
        <v>0</v>
      </c>
      <c r="G4" s="29">
        <v>569</v>
      </c>
      <c r="H4" s="20">
        <v>0</v>
      </c>
      <c r="I4" s="29">
        <v>1734</v>
      </c>
      <c r="J4" s="20">
        <v>0</v>
      </c>
      <c r="K4" s="29">
        <v>2303</v>
      </c>
      <c r="L4" s="20">
        <v>0</v>
      </c>
      <c r="M4" s="29">
        <v>130</v>
      </c>
      <c r="N4" s="20">
        <v>0</v>
      </c>
      <c r="O4" s="29">
        <v>7</v>
      </c>
      <c r="P4" s="20">
        <v>0</v>
      </c>
      <c r="Q4" s="29">
        <v>139</v>
      </c>
      <c r="R4" s="20">
        <v>0</v>
      </c>
      <c r="S4" s="29">
        <v>293</v>
      </c>
    </row>
    <row r="5" spans="1:21" s="6" customFormat="1" x14ac:dyDescent="0.25">
      <c r="A5" s="10">
        <v>3</v>
      </c>
      <c r="B5" s="21">
        <v>46113</v>
      </c>
      <c r="C5" s="22" t="s">
        <v>30</v>
      </c>
      <c r="D5" s="22" t="s">
        <v>28</v>
      </c>
      <c r="E5" s="22" t="s">
        <v>29</v>
      </c>
      <c r="F5" s="4">
        <v>6</v>
      </c>
      <c r="G5" s="29">
        <f t="shared" ref="G5" si="0">SUM(G4,F5)</f>
        <v>575</v>
      </c>
      <c r="H5" s="4">
        <v>28</v>
      </c>
      <c r="I5" s="29">
        <f t="shared" ref="I5" si="1">SUM(I4,H5)</f>
        <v>1762</v>
      </c>
      <c r="J5" s="4">
        <v>34</v>
      </c>
      <c r="K5" s="29">
        <f t="shared" ref="K5" si="2">SUM(K4,J5)</f>
        <v>2337</v>
      </c>
      <c r="L5" s="4">
        <v>0</v>
      </c>
      <c r="M5" s="29">
        <f t="shared" ref="M5" si="3">SUM(M4,L5)</f>
        <v>130</v>
      </c>
      <c r="N5" s="4">
        <v>0</v>
      </c>
      <c r="O5" s="29">
        <f t="shared" ref="O5" si="4">SUM(O4,N5)</f>
        <v>7</v>
      </c>
      <c r="P5" s="4">
        <v>2</v>
      </c>
      <c r="Q5" s="29">
        <f t="shared" ref="Q5" si="5">SUM(Q4,P5)</f>
        <v>141</v>
      </c>
      <c r="R5" s="4">
        <v>4</v>
      </c>
      <c r="S5" s="29">
        <f t="shared" ref="S5" si="6">SUM(S4,R5)</f>
        <v>297</v>
      </c>
    </row>
    <row r="6" spans="1:21" s="6" customFormat="1" x14ac:dyDescent="0.25">
      <c r="A6" s="10">
        <v>4</v>
      </c>
      <c r="B6" s="21">
        <v>46114</v>
      </c>
      <c r="C6" s="22" t="s">
        <v>30</v>
      </c>
      <c r="D6" s="22" t="s">
        <v>28</v>
      </c>
      <c r="E6" s="22" t="s">
        <v>29</v>
      </c>
      <c r="F6" s="4">
        <v>0</v>
      </c>
      <c r="G6" s="29">
        <f t="shared" ref="G6" si="7">SUM(G5,F6)</f>
        <v>575</v>
      </c>
      <c r="H6" s="4">
        <v>0</v>
      </c>
      <c r="I6" s="29">
        <f t="shared" ref="I6" si="8">SUM(I5,H6)</f>
        <v>1762</v>
      </c>
      <c r="J6" s="4">
        <v>0</v>
      </c>
      <c r="K6" s="29">
        <f t="shared" ref="K6" si="9">SUM(K5,J6)</f>
        <v>2337</v>
      </c>
      <c r="L6" s="4">
        <v>0</v>
      </c>
      <c r="M6" s="29">
        <f t="shared" ref="M6" si="10">SUM(M5,L6)</f>
        <v>130</v>
      </c>
      <c r="N6" s="4">
        <v>0</v>
      </c>
      <c r="O6" s="29">
        <f t="shared" ref="O6" si="11">SUM(O5,N6)</f>
        <v>7</v>
      </c>
      <c r="P6" s="4">
        <v>0</v>
      </c>
      <c r="Q6" s="29">
        <f t="shared" ref="Q6" si="12">SUM(Q5,P6)</f>
        <v>141</v>
      </c>
      <c r="R6" s="4">
        <v>0</v>
      </c>
      <c r="S6" s="29">
        <f t="shared" ref="S6" si="13">SUM(S5,R6)</f>
        <v>297</v>
      </c>
    </row>
    <row r="7" spans="1:21" x14ac:dyDescent="0.25">
      <c r="A7" s="10">
        <v>6</v>
      </c>
      <c r="B7" s="21">
        <v>46116</v>
      </c>
      <c r="C7" s="22" t="s">
        <v>30</v>
      </c>
      <c r="D7" s="22" t="s">
        <v>28</v>
      </c>
      <c r="E7" s="22" t="s">
        <v>29</v>
      </c>
      <c r="F7" s="4">
        <v>0</v>
      </c>
      <c r="G7" s="29">
        <f t="shared" ref="G7" si="14">SUM(G6,F7)</f>
        <v>575</v>
      </c>
      <c r="H7" s="4">
        <v>0</v>
      </c>
      <c r="I7" s="29">
        <f t="shared" ref="I7" si="15">SUM(I6,H7)</f>
        <v>1762</v>
      </c>
      <c r="J7" s="4">
        <v>0</v>
      </c>
      <c r="K7" s="29">
        <f t="shared" ref="K7" si="16">SUM(K6,J7)</f>
        <v>2337</v>
      </c>
      <c r="L7" s="4">
        <v>0</v>
      </c>
      <c r="M7" s="29">
        <f t="shared" ref="M7" si="17">SUM(M6,L7)</f>
        <v>130</v>
      </c>
      <c r="N7" s="4">
        <v>0</v>
      </c>
      <c r="O7" s="29">
        <f t="shared" ref="O7" si="18">SUM(O6,N7)</f>
        <v>7</v>
      </c>
      <c r="P7" s="4">
        <v>0</v>
      </c>
      <c r="Q7" s="29">
        <f t="shared" ref="Q7" si="19">SUM(Q6,P7)</f>
        <v>141</v>
      </c>
      <c r="R7" s="4">
        <v>0</v>
      </c>
      <c r="S7" s="29">
        <f t="shared" ref="S7" si="20">SUM(S6,R7)</f>
        <v>297</v>
      </c>
    </row>
    <row r="8" spans="1:21" x14ac:dyDescent="0.25">
      <c r="A8" s="10">
        <v>7</v>
      </c>
      <c r="B8" s="21">
        <v>46117</v>
      </c>
      <c r="C8" s="22" t="s">
        <v>30</v>
      </c>
      <c r="D8" s="22" t="s">
        <v>28</v>
      </c>
      <c r="E8" s="22" t="s">
        <v>29</v>
      </c>
      <c r="F8" s="4">
        <v>2</v>
      </c>
      <c r="G8" s="29">
        <f t="shared" ref="G8" si="21">SUM(G7,F8)</f>
        <v>577</v>
      </c>
      <c r="H8" s="4">
        <v>18</v>
      </c>
      <c r="I8" s="29">
        <f t="shared" ref="I8" si="22">SUM(I7,H8)</f>
        <v>1780</v>
      </c>
      <c r="J8" s="4">
        <v>20</v>
      </c>
      <c r="K8" s="29">
        <f t="shared" ref="K8" si="23">SUM(K7,J8)</f>
        <v>2357</v>
      </c>
      <c r="L8" s="4">
        <v>0</v>
      </c>
      <c r="M8" s="29">
        <f t="shared" ref="M8" si="24">SUM(M7,L8)</f>
        <v>130</v>
      </c>
      <c r="N8" s="4">
        <v>0</v>
      </c>
      <c r="O8" s="29">
        <f t="shared" ref="O8" si="25">SUM(O7,N8)</f>
        <v>7</v>
      </c>
      <c r="P8" s="4">
        <v>0</v>
      </c>
      <c r="Q8" s="29">
        <f t="shared" ref="Q8" si="26">SUM(Q7,P8)</f>
        <v>141</v>
      </c>
      <c r="R8" s="4">
        <v>2</v>
      </c>
      <c r="S8" s="29">
        <f t="shared" ref="S8" si="27">SUM(S7,R8)</f>
        <v>299</v>
      </c>
    </row>
    <row r="9" spans="1:21" x14ac:dyDescent="0.25">
      <c r="A9" s="10">
        <v>9</v>
      </c>
      <c r="B9" s="21">
        <v>46118</v>
      </c>
      <c r="C9" s="22" t="s">
        <v>30</v>
      </c>
      <c r="D9" s="22" t="s">
        <v>28</v>
      </c>
      <c r="E9" s="22" t="s">
        <v>29</v>
      </c>
      <c r="F9" s="4">
        <v>0</v>
      </c>
      <c r="G9" s="29">
        <f t="shared" ref="G9" si="28">SUM(G8,F9)</f>
        <v>577</v>
      </c>
      <c r="H9" s="4">
        <v>0</v>
      </c>
      <c r="I9" s="29">
        <f t="shared" ref="I9" si="29">SUM(I8,H9)</f>
        <v>1780</v>
      </c>
      <c r="J9" s="4">
        <v>0</v>
      </c>
      <c r="K9" s="29">
        <f t="shared" ref="K9" si="30">SUM(K8,J9)</f>
        <v>2357</v>
      </c>
      <c r="L9" s="4">
        <v>0</v>
      </c>
      <c r="M9" s="29">
        <f t="shared" ref="M9" si="31">SUM(M8,L9)</f>
        <v>130</v>
      </c>
      <c r="N9" s="4">
        <v>0</v>
      </c>
      <c r="O9" s="29">
        <f t="shared" ref="O9" si="32">SUM(O8,N9)</f>
        <v>7</v>
      </c>
      <c r="P9" s="4">
        <v>0</v>
      </c>
      <c r="Q9" s="29">
        <f t="shared" ref="Q9" si="33">SUM(Q8,P9)</f>
        <v>141</v>
      </c>
      <c r="R9" s="4">
        <v>0</v>
      </c>
      <c r="S9" s="29">
        <f t="shared" ref="S9" si="34">SUM(S8,R9)</f>
        <v>299</v>
      </c>
    </row>
    <row r="10" spans="1:21" x14ac:dyDescent="0.25">
      <c r="A10" s="10">
        <v>10</v>
      </c>
      <c r="B10" s="21">
        <v>46119</v>
      </c>
      <c r="C10" s="22" t="s">
        <v>30</v>
      </c>
      <c r="D10" s="22" t="s">
        <v>28</v>
      </c>
      <c r="E10" s="22" t="s">
        <v>29</v>
      </c>
      <c r="F10" s="4">
        <v>0</v>
      </c>
      <c r="G10" s="29">
        <f t="shared" ref="G10:G11" si="35">SUM(G9,F10)</f>
        <v>577</v>
      </c>
      <c r="H10" s="4">
        <v>0</v>
      </c>
      <c r="I10" s="29">
        <f t="shared" ref="I10:I11" si="36">SUM(I9,H10)</f>
        <v>1780</v>
      </c>
      <c r="J10" s="4">
        <v>0</v>
      </c>
      <c r="K10" s="29">
        <f t="shared" ref="K10:K11" si="37">SUM(K9,J10)</f>
        <v>2357</v>
      </c>
      <c r="L10" s="4">
        <v>0</v>
      </c>
      <c r="M10" s="29">
        <f t="shared" ref="M10:M11" si="38">SUM(M9,L10)</f>
        <v>130</v>
      </c>
      <c r="N10" s="4">
        <v>0</v>
      </c>
      <c r="O10" s="29">
        <f t="shared" ref="O10:O11" si="39">SUM(O9,N10)</f>
        <v>7</v>
      </c>
      <c r="P10" s="4">
        <v>0</v>
      </c>
      <c r="Q10" s="29">
        <f t="shared" ref="Q10:Q11" si="40">SUM(Q9,P10)</f>
        <v>141</v>
      </c>
      <c r="R10" s="4">
        <v>0</v>
      </c>
      <c r="S10" s="29">
        <f t="shared" ref="S10:S11" si="41">SUM(S9,R10)</f>
        <v>299</v>
      </c>
    </row>
    <row r="11" spans="1:21" x14ac:dyDescent="0.25">
      <c r="A11" s="10">
        <v>11</v>
      </c>
      <c r="B11" s="21">
        <v>46120</v>
      </c>
      <c r="C11" s="22" t="s">
        <v>30</v>
      </c>
      <c r="D11" s="22" t="s">
        <v>28</v>
      </c>
      <c r="E11" s="22" t="s">
        <v>29</v>
      </c>
      <c r="F11" s="4">
        <v>1</v>
      </c>
      <c r="G11" s="29">
        <f t="shared" si="35"/>
        <v>578</v>
      </c>
      <c r="H11" s="4">
        <v>24</v>
      </c>
      <c r="I11" s="29">
        <f t="shared" si="36"/>
        <v>1804</v>
      </c>
      <c r="J11" s="4">
        <v>25</v>
      </c>
      <c r="K11" s="29">
        <f t="shared" si="37"/>
        <v>2382</v>
      </c>
      <c r="L11" s="4">
        <v>0</v>
      </c>
      <c r="M11" s="29">
        <f t="shared" si="38"/>
        <v>130</v>
      </c>
      <c r="N11" s="4">
        <v>0</v>
      </c>
      <c r="O11" s="29">
        <f t="shared" si="39"/>
        <v>7</v>
      </c>
      <c r="P11" s="4">
        <v>1</v>
      </c>
      <c r="Q11" s="29">
        <f t="shared" si="40"/>
        <v>142</v>
      </c>
      <c r="R11" s="4">
        <v>0</v>
      </c>
      <c r="S11" s="29">
        <f t="shared" si="41"/>
        <v>299</v>
      </c>
    </row>
    <row r="12" spans="1:21" x14ac:dyDescent="0.25">
      <c r="A12" s="10">
        <v>12</v>
      </c>
      <c r="B12" s="21">
        <v>46121</v>
      </c>
      <c r="C12" s="22" t="s">
        <v>30</v>
      </c>
      <c r="D12" s="22" t="s">
        <v>28</v>
      </c>
      <c r="E12" s="22" t="s">
        <v>29</v>
      </c>
      <c r="F12" s="4">
        <v>0</v>
      </c>
      <c r="G12" s="29">
        <f t="shared" ref="G12:G13" si="42">SUM(G11,F12)</f>
        <v>578</v>
      </c>
      <c r="H12" s="4">
        <v>0</v>
      </c>
      <c r="I12" s="29">
        <f t="shared" ref="I12:I13" si="43">SUM(I11,H12)</f>
        <v>1804</v>
      </c>
      <c r="J12" s="4">
        <v>0</v>
      </c>
      <c r="K12" s="29">
        <f t="shared" ref="K12:K13" si="44">SUM(K11,J12)</f>
        <v>2382</v>
      </c>
      <c r="L12" s="4">
        <v>0</v>
      </c>
      <c r="M12" s="29">
        <f t="shared" ref="M12:M13" si="45">SUM(M11,L12)</f>
        <v>130</v>
      </c>
      <c r="N12" s="4">
        <v>0</v>
      </c>
      <c r="O12" s="29">
        <f t="shared" ref="O12:O13" si="46">SUM(O11,N12)</f>
        <v>7</v>
      </c>
      <c r="P12" s="4">
        <v>0</v>
      </c>
      <c r="Q12" s="29">
        <f t="shared" ref="Q12:Q13" si="47">SUM(Q11,P12)</f>
        <v>142</v>
      </c>
      <c r="R12" s="4">
        <v>0</v>
      </c>
      <c r="S12" s="29">
        <f t="shared" ref="S12:S13" si="48">SUM(S11,R12)</f>
        <v>299</v>
      </c>
    </row>
    <row r="13" spans="1:21" x14ac:dyDescent="0.25">
      <c r="A13" s="10">
        <v>14</v>
      </c>
      <c r="B13" s="21">
        <v>46123</v>
      </c>
      <c r="C13" s="22" t="s">
        <v>30</v>
      </c>
      <c r="D13" s="22" t="s">
        <v>28</v>
      </c>
      <c r="E13" s="22" t="s">
        <v>29</v>
      </c>
      <c r="F13" s="4">
        <v>0</v>
      </c>
      <c r="G13" s="29">
        <f t="shared" si="42"/>
        <v>578</v>
      </c>
      <c r="H13" s="4">
        <v>0</v>
      </c>
      <c r="I13" s="29">
        <f t="shared" si="43"/>
        <v>1804</v>
      </c>
      <c r="J13" s="4">
        <v>0</v>
      </c>
      <c r="K13" s="29">
        <f t="shared" si="44"/>
        <v>2382</v>
      </c>
      <c r="L13" s="4">
        <v>0</v>
      </c>
      <c r="M13" s="29">
        <f t="shared" si="45"/>
        <v>130</v>
      </c>
      <c r="N13" s="4">
        <v>0</v>
      </c>
      <c r="O13" s="29">
        <f t="shared" si="46"/>
        <v>7</v>
      </c>
      <c r="P13" s="4">
        <v>0</v>
      </c>
      <c r="Q13" s="29">
        <f t="shared" si="47"/>
        <v>142</v>
      </c>
      <c r="R13" s="4">
        <v>0</v>
      </c>
      <c r="S13" s="29">
        <f t="shared" si="48"/>
        <v>299</v>
      </c>
    </row>
    <row r="14" spans="1:21" s="7" customFormat="1" x14ac:dyDescent="0.25">
      <c r="A14" s="10">
        <v>17</v>
      </c>
      <c r="B14" s="21">
        <v>46124</v>
      </c>
      <c r="C14" s="22" t="s">
        <v>30</v>
      </c>
      <c r="D14" s="22" t="s">
        <v>28</v>
      </c>
      <c r="E14" s="22" t="s">
        <v>29</v>
      </c>
      <c r="F14" s="4">
        <v>1</v>
      </c>
      <c r="G14" s="29">
        <f t="shared" ref="G14" si="49">SUM(G13,F14)</f>
        <v>579</v>
      </c>
      <c r="H14" s="4">
        <v>20</v>
      </c>
      <c r="I14" s="29">
        <f t="shared" ref="I14" si="50">SUM(I13,H14)</f>
        <v>1824</v>
      </c>
      <c r="J14" s="4">
        <v>21</v>
      </c>
      <c r="K14" s="29">
        <f t="shared" ref="K14" si="51">SUM(K13,J14)</f>
        <v>2403</v>
      </c>
      <c r="L14" s="4">
        <v>0</v>
      </c>
      <c r="M14" s="29">
        <f t="shared" ref="M14" si="52">SUM(M13,L14)</f>
        <v>130</v>
      </c>
      <c r="N14" s="4">
        <v>0</v>
      </c>
      <c r="O14" s="29">
        <f t="shared" ref="O14" si="53">SUM(O13,N14)</f>
        <v>7</v>
      </c>
      <c r="P14" s="4">
        <v>1</v>
      </c>
      <c r="Q14" s="29">
        <f t="shared" ref="Q14" si="54">SUM(Q13,P14)</f>
        <v>143</v>
      </c>
      <c r="R14" s="4">
        <v>0</v>
      </c>
      <c r="S14" s="29">
        <f t="shared" ref="S14" si="55">SUM(S13,R14)</f>
        <v>299</v>
      </c>
      <c r="T14" s="3"/>
      <c r="U14" s="3"/>
    </row>
    <row r="15" spans="1:21" x14ac:dyDescent="0.25">
      <c r="A15" s="10">
        <v>19</v>
      </c>
      <c r="B15" s="21">
        <v>46126</v>
      </c>
      <c r="C15" s="22" t="s">
        <v>30</v>
      </c>
      <c r="D15" s="22" t="s">
        <v>28</v>
      </c>
      <c r="E15" s="22" t="s">
        <v>29</v>
      </c>
      <c r="F15" s="4">
        <v>0</v>
      </c>
      <c r="G15" s="29">
        <f t="shared" ref="G15" si="56">SUM(G14,F15)</f>
        <v>579</v>
      </c>
      <c r="H15" s="4">
        <v>2</v>
      </c>
      <c r="I15" s="29">
        <f t="shared" ref="I15" si="57">SUM(I14,H15)</f>
        <v>1826</v>
      </c>
      <c r="J15" s="4">
        <v>2</v>
      </c>
      <c r="K15" s="29">
        <f t="shared" ref="K15" si="58">SUM(K14,J15)</f>
        <v>2405</v>
      </c>
      <c r="L15" s="4">
        <v>0</v>
      </c>
      <c r="M15" s="29">
        <f t="shared" ref="M15" si="59">SUM(M14,L15)</f>
        <v>130</v>
      </c>
      <c r="N15" s="4">
        <v>0</v>
      </c>
      <c r="O15" s="29">
        <f t="shared" ref="O15" si="60">SUM(O14,N15)</f>
        <v>7</v>
      </c>
      <c r="P15" s="4">
        <v>0</v>
      </c>
      <c r="Q15" s="29">
        <f t="shared" ref="Q15" si="61">SUM(Q14,P15)</f>
        <v>143</v>
      </c>
      <c r="R15" s="4">
        <v>0</v>
      </c>
      <c r="S15" s="29">
        <f t="shared" ref="S15" si="62">SUM(S14,R15)</f>
        <v>299</v>
      </c>
    </row>
    <row r="16" spans="1:21" x14ac:dyDescent="0.25">
      <c r="A16" s="10">
        <v>20</v>
      </c>
      <c r="B16" s="21">
        <v>46127</v>
      </c>
      <c r="C16" s="22" t="s">
        <v>30</v>
      </c>
      <c r="D16" s="22" t="s">
        <v>28</v>
      </c>
      <c r="E16" s="22" t="s">
        <v>29</v>
      </c>
      <c r="F16" s="4">
        <v>3</v>
      </c>
      <c r="G16" s="29">
        <f t="shared" ref="G16" si="63">SUM(G15,F16)</f>
        <v>582</v>
      </c>
      <c r="H16" s="4">
        <v>27</v>
      </c>
      <c r="I16" s="29">
        <f t="shared" ref="I16" si="64">SUM(I15,H16)</f>
        <v>1853</v>
      </c>
      <c r="J16" s="4">
        <v>30</v>
      </c>
      <c r="K16" s="29">
        <f t="shared" ref="K16" si="65">SUM(K15,J16)</f>
        <v>2435</v>
      </c>
      <c r="L16" s="4">
        <v>0</v>
      </c>
      <c r="M16" s="29">
        <f t="shared" ref="M16" si="66">SUM(M15,L16)</f>
        <v>130</v>
      </c>
      <c r="N16" s="4">
        <v>0</v>
      </c>
      <c r="O16" s="29">
        <f t="shared" ref="O16" si="67">SUM(O15,N16)</f>
        <v>7</v>
      </c>
      <c r="P16" s="4">
        <v>0</v>
      </c>
      <c r="Q16" s="29">
        <f t="shared" ref="Q16" si="68">SUM(Q15,P16)</f>
        <v>143</v>
      </c>
      <c r="R16" s="4">
        <v>3</v>
      </c>
      <c r="S16" s="29">
        <f t="shared" ref="S16" si="69">SUM(S15,R16)</f>
        <v>302</v>
      </c>
    </row>
    <row r="17" spans="1:19" x14ac:dyDescent="0.25">
      <c r="A17" s="10">
        <v>21</v>
      </c>
      <c r="B17" s="21">
        <v>46128</v>
      </c>
      <c r="C17" s="22" t="s">
        <v>30</v>
      </c>
      <c r="D17" s="22" t="s">
        <v>28</v>
      </c>
      <c r="E17" s="22" t="s">
        <v>29</v>
      </c>
      <c r="F17" s="4"/>
      <c r="G17" s="29"/>
      <c r="H17" s="4"/>
      <c r="I17" s="29"/>
      <c r="J17" s="4"/>
      <c r="K17" s="29"/>
      <c r="L17" s="4"/>
      <c r="M17" s="29"/>
      <c r="N17" s="4"/>
      <c r="O17" s="29"/>
      <c r="P17" s="4"/>
      <c r="Q17" s="29"/>
      <c r="R17" s="4"/>
      <c r="S17" s="29"/>
    </row>
    <row r="18" spans="1:19" x14ac:dyDescent="0.25">
      <c r="A18" s="10">
        <v>22</v>
      </c>
      <c r="B18" s="21">
        <v>46129</v>
      </c>
      <c r="C18" s="22" t="s">
        <v>30</v>
      </c>
      <c r="D18" s="22" t="s">
        <v>28</v>
      </c>
      <c r="E18" s="22" t="s">
        <v>29</v>
      </c>
      <c r="F18" s="4"/>
      <c r="G18" s="29"/>
      <c r="H18" s="4"/>
      <c r="I18" s="29"/>
      <c r="J18" s="4"/>
      <c r="K18" s="29"/>
      <c r="L18" s="4"/>
      <c r="M18" s="29"/>
      <c r="N18" s="4"/>
      <c r="O18" s="29"/>
      <c r="P18" s="4"/>
      <c r="Q18" s="29"/>
      <c r="R18" s="4"/>
      <c r="S18" s="29"/>
    </row>
    <row r="19" spans="1:19" x14ac:dyDescent="0.25">
      <c r="A19" s="10">
        <v>23</v>
      </c>
      <c r="B19" s="21">
        <v>46130</v>
      </c>
      <c r="C19" s="22" t="s">
        <v>30</v>
      </c>
      <c r="D19" s="22" t="s">
        <v>28</v>
      </c>
      <c r="E19" s="22" t="s">
        <v>29</v>
      </c>
      <c r="F19" s="4"/>
      <c r="G19" s="29"/>
      <c r="H19" s="4"/>
      <c r="I19" s="29"/>
      <c r="J19" s="4"/>
      <c r="K19" s="29"/>
      <c r="L19" s="4"/>
      <c r="M19" s="29"/>
      <c r="N19" s="4"/>
      <c r="O19" s="29"/>
      <c r="P19" s="4"/>
      <c r="Q19" s="29"/>
      <c r="R19" s="4"/>
      <c r="S19" s="29"/>
    </row>
    <row r="20" spans="1:19" x14ac:dyDescent="0.25">
      <c r="A20" s="10">
        <v>24</v>
      </c>
      <c r="B20" s="21">
        <v>46131</v>
      </c>
      <c r="C20" s="22" t="s">
        <v>30</v>
      </c>
      <c r="D20" s="22" t="s">
        <v>28</v>
      </c>
      <c r="E20" s="22" t="s">
        <v>29</v>
      </c>
      <c r="F20" s="4"/>
      <c r="G20" s="29"/>
      <c r="H20" s="4"/>
      <c r="I20" s="29"/>
      <c r="J20" s="4"/>
      <c r="K20" s="29"/>
      <c r="L20" s="4"/>
      <c r="M20" s="29"/>
      <c r="N20" s="4"/>
      <c r="O20" s="29"/>
      <c r="P20" s="4"/>
      <c r="Q20" s="29"/>
      <c r="R20" s="4"/>
      <c r="S20" s="29"/>
    </row>
    <row r="21" spans="1:19" x14ac:dyDescent="0.25">
      <c r="A21" s="10">
        <v>25</v>
      </c>
      <c r="B21" s="21">
        <v>46132</v>
      </c>
      <c r="C21" s="22" t="s">
        <v>30</v>
      </c>
      <c r="D21" s="22" t="s">
        <v>28</v>
      </c>
      <c r="E21" s="22" t="s">
        <v>29</v>
      </c>
      <c r="F21" s="4"/>
      <c r="G21" s="29"/>
      <c r="H21" s="4"/>
      <c r="I21" s="29"/>
      <c r="J21" s="4"/>
      <c r="K21" s="29"/>
      <c r="L21" s="4"/>
      <c r="M21" s="29"/>
      <c r="N21" s="4"/>
      <c r="O21" s="29"/>
      <c r="P21" s="4"/>
      <c r="Q21" s="29"/>
      <c r="R21" s="4"/>
      <c r="S21" s="29"/>
    </row>
    <row r="22" spans="1:19" x14ac:dyDescent="0.25">
      <c r="A22" s="10">
        <v>26</v>
      </c>
      <c r="B22" s="21">
        <v>46133</v>
      </c>
      <c r="C22" s="22" t="s">
        <v>30</v>
      </c>
      <c r="D22" s="22" t="s">
        <v>28</v>
      </c>
      <c r="E22" s="22" t="s">
        <v>29</v>
      </c>
      <c r="F22" s="4"/>
      <c r="G22" s="29"/>
      <c r="H22" s="4"/>
      <c r="I22" s="29"/>
      <c r="J22" s="4"/>
      <c r="K22" s="29"/>
      <c r="L22" s="4"/>
      <c r="M22" s="29"/>
      <c r="N22" s="4"/>
      <c r="O22" s="29"/>
      <c r="P22" s="4"/>
      <c r="Q22" s="29"/>
      <c r="R22" s="4"/>
      <c r="S22" s="29"/>
    </row>
    <row r="23" spans="1:19" x14ac:dyDescent="0.25">
      <c r="A23" s="10">
        <v>27</v>
      </c>
      <c r="B23" s="21">
        <v>46134</v>
      </c>
      <c r="C23" s="22" t="s">
        <v>30</v>
      </c>
      <c r="D23" s="22" t="s">
        <v>28</v>
      </c>
      <c r="E23" s="22" t="s">
        <v>29</v>
      </c>
      <c r="F23" s="4"/>
      <c r="G23" s="29"/>
      <c r="H23" s="4"/>
      <c r="I23" s="29"/>
      <c r="J23" s="4"/>
      <c r="K23" s="29"/>
      <c r="L23" s="4"/>
      <c r="M23" s="29"/>
      <c r="N23" s="4"/>
      <c r="O23" s="29"/>
      <c r="P23" s="4"/>
      <c r="Q23" s="29"/>
      <c r="R23" s="4"/>
      <c r="S23" s="29"/>
    </row>
    <row r="24" spans="1:19" x14ac:dyDescent="0.25">
      <c r="B24" s="21">
        <v>46135</v>
      </c>
      <c r="C24" s="22" t="s">
        <v>30</v>
      </c>
      <c r="D24" s="22" t="s">
        <v>28</v>
      </c>
      <c r="E24" s="22" t="s">
        <v>29</v>
      </c>
      <c r="F24" s="4"/>
      <c r="G24" s="29"/>
      <c r="H24" s="4"/>
      <c r="I24" s="29"/>
      <c r="J24" s="4"/>
      <c r="K24" s="29"/>
      <c r="L24" s="4"/>
      <c r="M24" s="29"/>
      <c r="N24" s="4"/>
      <c r="O24" s="29"/>
      <c r="P24" s="4"/>
      <c r="Q24" s="29"/>
      <c r="R24" s="4"/>
      <c r="S24" s="29"/>
    </row>
    <row r="25" spans="1:19" x14ac:dyDescent="0.25">
      <c r="B25" s="21">
        <v>46136</v>
      </c>
    </row>
    <row r="26" spans="1:19" x14ac:dyDescent="0.25">
      <c r="B26" s="9"/>
    </row>
    <row r="27" spans="1:19" x14ac:dyDescent="0.25">
      <c r="B27" s="9"/>
    </row>
    <row r="28" spans="1:19" x14ac:dyDescent="0.25">
      <c r="B28" s="9"/>
    </row>
    <row r="29" spans="1:19" x14ac:dyDescent="0.25">
      <c r="B29" s="9"/>
    </row>
    <row r="30" spans="1:19" x14ac:dyDescent="0.25">
      <c r="B30" s="9"/>
    </row>
  </sheetData>
  <mergeCells count="12">
    <mergeCell ref="P1:Q1"/>
    <mergeCell ref="R1:S1"/>
    <mergeCell ref="F1:G1"/>
    <mergeCell ref="J1:K1"/>
    <mergeCell ref="H1:I1"/>
    <mergeCell ref="L1:M1"/>
    <mergeCell ref="N1:O1"/>
    <mergeCell ref="A1:A2"/>
    <mergeCell ref="C1:C2"/>
    <mergeCell ref="D1:D2"/>
    <mergeCell ref="E1:E2"/>
    <mergeCell ref="B1:B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العيادة</vt:lpstr>
      <vt:lpstr>مكتب التسجيل</vt:lpstr>
      <vt:lpstr>الصيدلية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server7</dc:creator>
  <cp:lastModifiedBy>Adel Abdelaal</cp:lastModifiedBy>
  <cp:lastPrinted>2026-02-21T11:15:18Z</cp:lastPrinted>
  <dcterms:created xsi:type="dcterms:W3CDTF">2025-02-07T11:38:34Z</dcterms:created>
  <dcterms:modified xsi:type="dcterms:W3CDTF">2026-04-16T09:09:07Z</dcterms:modified>
</cp:coreProperties>
</file>