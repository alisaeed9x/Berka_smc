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ملفات\"/>
    </mc:Choice>
  </mc:AlternateContent>
  <xr:revisionPtr revIDLastSave="0" documentId="13_ncr:1_{C8D22985-6AE5-47FB-9776-8388A90ADB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البيان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F2" i="1"/>
</calcChain>
</file>

<file path=xl/sharedStrings.xml><?xml version="1.0" encoding="utf-8"?>
<sst xmlns="http://schemas.openxmlformats.org/spreadsheetml/2006/main" count="588" uniqueCount="260">
  <si>
    <t>اسم المواطن</t>
  </si>
  <si>
    <t>رقم قرار</t>
  </si>
  <si>
    <t>تاريخ القرار</t>
  </si>
  <si>
    <t>تاريخ الاستدعاء</t>
  </si>
  <si>
    <t>حالة الاستدعاء</t>
  </si>
  <si>
    <t>تاريخ حضور المركز وبداية الصرف</t>
  </si>
  <si>
    <t>نعيمة جميل محمد عثمان</t>
  </si>
  <si>
    <t>تم الاستدعاء</t>
  </si>
  <si>
    <t>محمود عباس محمد أحمد</t>
  </si>
  <si>
    <t>فتحية عبد العظيم علي موسى</t>
  </si>
  <si>
    <t>سعاد فرويز عطالله عزيز</t>
  </si>
  <si>
    <t>سناء داخلي أحمد سالم</t>
  </si>
  <si>
    <t>21/1/2026</t>
  </si>
  <si>
    <t>فاطمه حامد محمود محمد</t>
  </si>
  <si>
    <t>9\11/2025</t>
  </si>
  <si>
    <t>نسمة صلاح مصلح حامد</t>
  </si>
  <si>
    <t>مغلق/ لم يتم الرد</t>
  </si>
  <si>
    <t>زينب رزق على عبدالفتاح</t>
  </si>
  <si>
    <t>23/11/2025</t>
  </si>
  <si>
    <t>تهانى محمد عبدالحميد محمد</t>
  </si>
  <si>
    <t>زينب شحات عبد الرحيم اسماعيل</t>
  </si>
  <si>
    <t>سمر كمال صلاح كمال</t>
  </si>
  <si>
    <t>ناديه عبدالصادق عفيفى راشد</t>
  </si>
  <si>
    <t>16/11/2025</t>
  </si>
  <si>
    <t>عزيزة عيد مصطفى أحمد</t>
  </si>
  <si>
    <t>19/11/2025</t>
  </si>
  <si>
    <t>صفاء جودة إبراهيم الخطابي</t>
  </si>
  <si>
    <t>زكي محمد زكي احمد</t>
  </si>
  <si>
    <t>كريمة عبد القادر مختار عبد القادر</t>
  </si>
  <si>
    <t>ماجدة حلمي كراس حنا</t>
  </si>
  <si>
    <t>سعيد عبد المؤمن محمد حسن</t>
  </si>
  <si>
    <t>سيد سيد ياسين أحمد</t>
  </si>
  <si>
    <t>سومية حجاج عمرو محمد</t>
  </si>
  <si>
    <t>7/12/2025 سكر فقط</t>
  </si>
  <si>
    <t>خيرات كمال عبدالكريم محمد</t>
  </si>
  <si>
    <t>14/12/2025</t>
  </si>
  <si>
    <t>صباح محمد هريدي سيد</t>
  </si>
  <si>
    <t>فاطمه محمد محمد الوسيمى</t>
  </si>
  <si>
    <t>حسنيه عبدالفتاح خليفه احمد</t>
  </si>
  <si>
    <t>فاطمة مصطفى مدبولي خميس</t>
  </si>
  <si>
    <t>مبروكة عبد الله عبد السيد</t>
  </si>
  <si>
    <t>نادية مصطفي حسن محمود</t>
  </si>
  <si>
    <t>نورة عبد الموجود يوسف عفيفي</t>
  </si>
  <si>
    <t>سميره عبد المطلب على النجار</t>
  </si>
  <si>
    <t>26/11/2025</t>
  </si>
  <si>
    <t>صوفى عجمى حميده شهاب</t>
  </si>
  <si>
    <t>فاطمه علاوى سليمان سالم</t>
  </si>
  <si>
    <t>مني حسين الصغير بلال</t>
  </si>
  <si>
    <t>هوانم صلاح خواص علي</t>
  </si>
  <si>
    <t>سعيد راضي زكي --</t>
  </si>
  <si>
    <t>فايزة عبد المجيد حامد محمد</t>
  </si>
  <si>
    <t>معزوزه ثابت سمرى احمد</t>
  </si>
  <si>
    <t>حكمت عبدالفتاح احمد سيد</t>
  </si>
  <si>
    <t>عزة جلال عبد العال إبراهيم</t>
  </si>
  <si>
    <t>وفاء إسماعيل عبد التواب إبراهيم</t>
  </si>
  <si>
    <t>افراج جرو عمار مسعود</t>
  </si>
  <si>
    <t>مواعظ محمد زكرت فتحى رضوان</t>
  </si>
  <si>
    <t>30/11/2025</t>
  </si>
  <si>
    <t>إيمان سيد عبد الغني محمود</t>
  </si>
  <si>
    <t>30/11/2026</t>
  </si>
  <si>
    <t>صباح صلاح رضوان شعبان</t>
  </si>
  <si>
    <t>رحاب منير محمد سلامه</t>
  </si>
  <si>
    <t>سهير شرف موسى عبد القادر</t>
  </si>
  <si>
    <t>امنة حباشي يسن أحمد</t>
  </si>
  <si>
    <t>إيمان محمود حسن عبد الرحيم</t>
  </si>
  <si>
    <t>حنان برنس فهمي مجلي</t>
  </si>
  <si>
    <t>سعديه على تونى حسن</t>
  </si>
  <si>
    <t>انتصار عبدالخالق جوده عبدالخالق</t>
  </si>
  <si>
    <t>24/12/2025</t>
  </si>
  <si>
    <t>أبو الحسن محمد حسن أبو بكر</t>
  </si>
  <si>
    <t>28/12/2025</t>
  </si>
  <si>
    <t>رفاعي عبد العزيز رفاعي دياب</t>
  </si>
  <si>
    <t>سعاد محمد فتحي السيد</t>
  </si>
  <si>
    <t>عفاف قاسم علي علي</t>
  </si>
  <si>
    <t>لبني رفعت شديد سباعي</t>
  </si>
  <si>
    <t>سعدية رزق أحمد عفيفي</t>
  </si>
  <si>
    <t>ياسمين محمد سالم احمد</t>
  </si>
  <si>
    <t>حنان محمد فولي ابوبكر</t>
  </si>
  <si>
    <t>امال محمد احمد سعيد</t>
  </si>
  <si>
    <t>حفيظه احمد عبد الرحمن شعيب</t>
  </si>
  <si>
    <t>شريفة السيد إبراهيم سرحان</t>
  </si>
  <si>
    <t>صبرين رضا صادق ابراهيم</t>
  </si>
  <si>
    <t>عفاف حمدي عبدالستار مدبولي</t>
  </si>
  <si>
    <t>منى أحمد قرني محمد</t>
  </si>
  <si>
    <t>نسمه هلال محمد على</t>
  </si>
  <si>
    <t>بطه عبدالحافظ يوسف حسن</t>
  </si>
  <si>
    <t>سعاد شحات محمد المشتولى</t>
  </si>
  <si>
    <t>صبرية حسانين حسين إسماعيل</t>
  </si>
  <si>
    <t>عزه مصطفي هلال محمود</t>
  </si>
  <si>
    <t>21/12/2025</t>
  </si>
  <si>
    <t>فاطمه بيومي محمد البيومي</t>
  </si>
  <si>
    <t>هلالية محمود هلال حسن</t>
  </si>
  <si>
    <t>فوزية حسانين حسين حسانين</t>
  </si>
  <si>
    <t>صلاح يوسف امام رمضان</t>
  </si>
  <si>
    <t>17/12/2025</t>
  </si>
  <si>
    <t>عفاف رسلان ذكي علي</t>
  </si>
  <si>
    <t>ناعسة عبدالحميد عبدالوهاب بدرة</t>
  </si>
  <si>
    <t>شربات حسني جاد الله محمد</t>
  </si>
  <si>
    <t>فاطمة شعبان سيد علي</t>
  </si>
  <si>
    <t>نجلاء طبلاوي عبدالسميع محمد</t>
  </si>
  <si>
    <t>عايده محمود عبد اللطيف شعبان</t>
  </si>
  <si>
    <t>زينب يوسف سليم جلال</t>
  </si>
  <si>
    <t>وفاء محمد سليم اسماعيل</t>
  </si>
  <si>
    <t>صباح ابراهيم المرسي عيد</t>
  </si>
  <si>
    <t>احمد عيسي حسن ميهوب</t>
  </si>
  <si>
    <t>عامر محمد فولي بكر</t>
  </si>
  <si>
    <t>نجاح نصيف شلبي تاوضروس</t>
  </si>
  <si>
    <t>امل شحات رزق يوسف</t>
  </si>
  <si>
    <t>عزه محمد عبدالكريم رفاعي</t>
  </si>
  <si>
    <t>ليلي عوض راغب عوض</t>
  </si>
  <si>
    <t>السيده عبد المنعم ابراهيم سيد احمد</t>
  </si>
  <si>
    <t>شاهنده السيد محمد عبدالحافظ</t>
  </si>
  <si>
    <t>صباح سيد اسماعيل الديب</t>
  </si>
  <si>
    <t>14/1/2026</t>
  </si>
  <si>
    <t>رضا فتح الله محمود الصاوي</t>
  </si>
  <si>
    <t>فاطمه حنفي محمود محمد</t>
  </si>
  <si>
    <t xml:space="preserve"> 	كريمان ابراهيم عبدالجواد دياب</t>
  </si>
  <si>
    <t>25/1/2026</t>
  </si>
  <si>
    <t>عواطف فضل امين حسن</t>
  </si>
  <si>
    <t>كريمه علي احمد الزيني</t>
  </si>
  <si>
    <t>احمد محمد عبدالعليم سعيد</t>
  </si>
  <si>
    <t>هانم محمد بيومي مصطفي</t>
  </si>
  <si>
    <t>عواطف عبد الحكيم علي هيكل</t>
  </si>
  <si>
    <t>ليلي محمد احمد علي</t>
  </si>
  <si>
    <t>عبير طلبة محمد احمد</t>
  </si>
  <si>
    <t>عواطف عبدالغني محمد دسوقي</t>
  </si>
  <si>
    <t>عاطف محمد عبد التواب علي</t>
  </si>
  <si>
    <t>منال سيد إمام محمد</t>
  </si>
  <si>
    <t>هدى أحمد محمد عبد الغني</t>
  </si>
  <si>
    <t>هناء إبراهيم محمد نصار</t>
  </si>
  <si>
    <t>نجلاء حمدي كامل محمد</t>
  </si>
  <si>
    <t>18/1/2026</t>
  </si>
  <si>
    <t>سومية محمد ابراهيم بركات</t>
  </si>
  <si>
    <t>فاطمه حسن جمعه عبدالحفيظ</t>
  </si>
  <si>
    <t>وفاء عطية حسن عطية</t>
  </si>
  <si>
    <t>بخيته عبد الشافي محمود محمد</t>
  </si>
  <si>
    <t>22/2/2026</t>
  </si>
  <si>
    <t>فاتن عبدالرحيم مصطفى عطيه</t>
  </si>
  <si>
    <t>كريمه حسنى محمود محمد</t>
  </si>
  <si>
    <t>25/3/2026</t>
  </si>
  <si>
    <t>ام هاشم عيد احمد علي</t>
  </si>
  <si>
    <t>سامية ربيع عبد العظيم إبراهيم</t>
  </si>
  <si>
    <t>هديه عبد الهادي محمد عبد الرحمن</t>
  </si>
  <si>
    <t>مروي سعيد محمد عبد الجواد</t>
  </si>
  <si>
    <t>ناديه رشاد علواني كيلاني</t>
  </si>
  <si>
    <t>حنان رجب أحمد خليفة</t>
  </si>
  <si>
    <t>صابرين ممدوح محمد محمد</t>
  </si>
  <si>
    <t>كريمة محمد سالم محمد</t>
  </si>
  <si>
    <t>عزه عيد السيد متولي</t>
  </si>
  <si>
    <t>نادية صابر عبد اللطيف محمد</t>
  </si>
  <si>
    <t>25\2\2026</t>
  </si>
  <si>
    <t>فهيمة حسن فهمي أحمد</t>
  </si>
  <si>
    <t>محمد رضا عبدالحكيم علي</t>
  </si>
  <si>
    <t>زينب حسن فهمي احمد</t>
  </si>
  <si>
    <t>شادية عامر قطاوي سويحة</t>
  </si>
  <si>
    <t>صبره صبحي علي اسماعيل</t>
  </si>
  <si>
    <t>امال درباله علي عطش</t>
  </si>
  <si>
    <t>زايد السيد محمد الديب</t>
  </si>
  <si>
    <t>عزيزة محمد سيد شاهين</t>
  </si>
  <si>
    <t>امال حسن رمضان عبدالحميد</t>
  </si>
  <si>
    <t>سعاد عامر قطاوى سويحه</t>
  </si>
  <si>
    <t>عزت جاد السيد بنيامين</t>
  </si>
  <si>
    <t>سعدى شحات محمد شحات</t>
  </si>
  <si>
    <t>28/1/2026</t>
  </si>
  <si>
    <t>خديجه زكى على هيكل</t>
  </si>
  <si>
    <t>ايمان سيد محمد حسانين</t>
  </si>
  <si>
    <t>سحر محمد السيد محمد</t>
  </si>
  <si>
    <t>زينب عبدالهادي غانم رزق</t>
  </si>
  <si>
    <t>فهيمة إمام زيدان محمد</t>
  </si>
  <si>
    <t>وجيدة محمود محمد ادريس</t>
  </si>
  <si>
    <t>اشرف صبرى احمد ابراهيم</t>
  </si>
  <si>
    <t>سعاد حسين عبد المنعم سلطان</t>
  </si>
  <si>
    <t>سهام حسني حسن توني</t>
  </si>
  <si>
    <t>15/3/2026</t>
  </si>
  <si>
    <t>سمر احمد جوده عبدالخالق</t>
  </si>
  <si>
    <t>عالية حسن خليفة حسن</t>
  </si>
  <si>
    <t>حفيظه عبدالسلام امام محمد</t>
  </si>
  <si>
    <t>اصلاح مفضل علي حافظ</t>
  </si>
  <si>
    <t>18/2/2026</t>
  </si>
  <si>
    <t>امل نجا اسماعيل حسانين</t>
  </si>
  <si>
    <t>علاء عبدالفتاح حسين حسن</t>
  </si>
  <si>
    <t>فاطمة سليم علي محمد</t>
  </si>
  <si>
    <t>زينب رشوان علي</t>
  </si>
  <si>
    <t>امل عبدالحق جمعه عبدالحفيظ</t>
  </si>
  <si>
    <t>هيام طه عبدالحميد محمد</t>
  </si>
  <si>
    <t>عبد الغفار أمين عبد السلام أحمد</t>
  </si>
  <si>
    <t>سلوي عبدالعزيز عفيفي شهاب الدين</t>
  </si>
  <si>
    <t>امال شحاته عمرى رزق</t>
  </si>
  <si>
    <t>هناء عبد الله خليفة علي</t>
  </si>
  <si>
    <t>سنيه رزق مدبولي شعبان</t>
  </si>
  <si>
    <t>ايه منتصر جمعة محمد</t>
  </si>
  <si>
    <t>هاجر عيد صابر مجاهد</t>
  </si>
  <si>
    <t>كريمه كمال محمد منصور</t>
  </si>
  <si>
    <t>مني احمد الطاهر احمد</t>
  </si>
  <si>
    <t>ولاء محمود محمد أحمد</t>
  </si>
  <si>
    <t>امال حسن محمد حسن شعبان</t>
  </si>
  <si>
    <t>هيام خميس محمد خليل</t>
  </si>
  <si>
    <t>سعديه سعيد فتحى محمد</t>
  </si>
  <si>
    <t>نجلاء خميس محمد خليل</t>
  </si>
  <si>
    <t>ناهد عيد محروس السيد</t>
  </si>
  <si>
    <t>عبد الرحيم حسني عبد الرحيم حسن</t>
  </si>
  <si>
    <t>فاطمه محمد عثمان حمد</t>
  </si>
  <si>
    <t>صابرين سليمان احمد سلمان</t>
  </si>
  <si>
    <t>هديه حمدان سيد محمد ابوالسعود</t>
  </si>
  <si>
    <t>1\3\2026</t>
  </si>
  <si>
    <t>فوزيه محمد عبدالحميد سلطان</t>
  </si>
  <si>
    <t>زوزة رسمي محمد موسى</t>
  </si>
  <si>
    <t>سعد توني سعد حسن</t>
  </si>
  <si>
    <t>نجاه عبدالله الناظر سعيد</t>
  </si>
  <si>
    <t>شعبان محمد محمود سعد</t>
  </si>
  <si>
    <t>ربيع صبحى رفاعى حسانين</t>
  </si>
  <si>
    <t>خطاب إبراهيم علي مصطفى</t>
  </si>
  <si>
    <t>بدر حسن محفوظ حسانين</t>
  </si>
  <si>
    <t>ناديه على سيد</t>
  </si>
  <si>
    <t>ولاء فتحي عبد الراضي اسماعيل</t>
  </si>
  <si>
    <t>فاطمه فاروق محمود عبدالحميد</t>
  </si>
  <si>
    <t>هبه ناصر عبدالبصير على</t>
  </si>
  <si>
    <t>موهدى مهدى عبدالصمد موسى</t>
  </si>
  <si>
    <t>كريمة صلاح عبدربة الهواري</t>
  </si>
  <si>
    <t>هدى عبد الواحد مرسي علي</t>
  </si>
  <si>
    <t>السيده صبري طه عبدالدايم</t>
  </si>
  <si>
    <t>نجاح سليمان سويلم زيدان</t>
  </si>
  <si>
    <t>رشا عوض الله عبد الناصف قاسم</t>
  </si>
  <si>
    <t>ساميه خلف عليو محمد</t>
  </si>
  <si>
    <t>نفيسه علي سلطان عاشور</t>
  </si>
  <si>
    <t>حمديه سعداوي محمد ابوالحسن</t>
  </si>
  <si>
    <t>صباح كامل محمود احمد</t>
  </si>
  <si>
    <t>كريمه محمد طلعت محمد</t>
  </si>
  <si>
    <t>نفيسة عبدالمنعم محمد ابراهيم</t>
  </si>
  <si>
    <t>ايناس محمد طه محمد</t>
  </si>
  <si>
    <t>عبير حسن علي حسن</t>
  </si>
  <si>
    <t>منى عبدالفضيل عبدالقادر حسن</t>
  </si>
  <si>
    <t>18/3/2026</t>
  </si>
  <si>
    <t>ام محمد عبدالعاطي محمد سيد</t>
  </si>
  <si>
    <t>سحر زارع سعد حسين</t>
  </si>
  <si>
    <t>عبد العزيز محمد محمد احمد</t>
  </si>
  <si>
    <t>مني مصطفي محمد احمد</t>
  </si>
  <si>
    <t>نعمة حسنين محمود خليل</t>
  </si>
  <si>
    <t>نبوية محمد محمد علي</t>
  </si>
  <si>
    <t>فوزية علي حسن ابراهيم</t>
  </si>
  <si>
    <t>مديحه علي عبدالجواد علي</t>
  </si>
  <si>
    <t>تهاني عبد الرازق عبد الحميد عبد الله</t>
  </si>
  <si>
    <t>عزة محمد احمد الجندي</t>
  </si>
  <si>
    <t>هدي عبد الحميد حسن عبد الوهاب</t>
  </si>
  <si>
    <t>عبد القادر مختار عبد القادر حبلص</t>
  </si>
  <si>
    <t>شادية محمد عبد الرحمن محمد</t>
  </si>
  <si>
    <t>عايدة عبد العال محروس محمد</t>
  </si>
  <si>
    <t>رزقه رضا محمد امام</t>
  </si>
  <si>
    <t>سعديه محمود حسن حسين</t>
  </si>
  <si>
    <t>احمد رجب قرني رمضان</t>
  </si>
  <si>
    <t>سهام هادي عبد اللطيف اسماعيل</t>
  </si>
  <si>
    <t>صابرين خلف عبدالله محمد</t>
  </si>
  <si>
    <t>أسماء ياسر حسانين رشاد</t>
  </si>
  <si>
    <t>هبه حسن عبدالوهاب</t>
  </si>
  <si>
    <t>حياة محمد سيد شاهين</t>
  </si>
  <si>
    <t>الأيام المتبقية للقرار</t>
  </si>
  <si>
    <t>صلاحية القرار</t>
  </si>
  <si>
    <t xml:space="preserve">15/3/2026 قرار الضغط </t>
  </si>
  <si>
    <t xml:space="preserve">   25/3/2026  قرار السكر</t>
  </si>
  <si>
    <t>رقم التليفون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</si>
</sst>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0" borderId="1" xfId="0" applyFont="1" applyBorder="1"/>
    <xf numFmtId="14" fontId="1" fillId="0" borderId="1" xfId="0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14" fontId="1" fillId="3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right" vertical="top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4" borderId="3" xfId="0" applyFont="1" applyFill="1" applyBorder="1" applyAlignment="1">
      <alignment vertical="top"/>
    </xf>
    <xf numFmtId="0" fontId="1" fillId="0" borderId="4" xfId="0" applyFont="1" applyBorder="1"/>
    <xf numFmtId="0" fontId="1" fillId="4" borderId="5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6" xfId="0" applyFont="1" applyFill="1" applyBorder="1"/>
    <xf numFmtId="0" fontId="1" fillId="5" borderId="6" xfId="0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top"/>
    </xf>
  </cellXfs>
  <cellStyles count="1">
    <cellStyle name="Normal" xfId="0" builtinId="0"/>
  </cellStyles>
  <dxfs count="5">
    <dxf>
      <font>
        <color rgb="FFFF000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mruColors>
      <color rgb="FFCCFFCC"/>
      <color rgb="FF99FF99"/>
      <color rgb="FF66FF99"/>
      <color rgb="FF99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71"/>
  <sheetViews>
    <sheetView rightToLeft="1" tabSelected="1" zoomScaleNormal="100" workbookViewId="0">
      <pane ySplit="1" topLeftCell="A17" activePane="bottomLeft" state="frozen"/>
      <selection pane="bottomLeft" activeCell="A17" sqref="A17"/>
    </sheetView>
  </sheetViews>
  <sheetFormatPr defaultRowHeight="15.75" x14ac:dyDescent="0.25"/>
  <cols>
    <col min="1" max="1" width="25.5" style="13" customWidth="1"/>
    <col min="2" max="2" width="14.75" style="21" customWidth="1"/>
    <col min="3" max="3" width="11.5" style="9" customWidth="1"/>
    <col min="4" max="4" width="13" style="3" customWidth="1"/>
    <col min="5" max="5" width="24.75" style="1" customWidth="1"/>
    <col min="6" max="6" width="15.5" style="11" customWidth="1"/>
    <col min="7" max="7" width="14.125" style="16" customWidth="1"/>
    <col min="8" max="8" width="9" style="17"/>
    <col min="9" max="9" width="13.25" style="16" customWidth="1"/>
    <col min="10" max="16384" width="9" style="3"/>
  </cols>
  <sheetData>
    <row r="1" spans="1:9" s="12" customFormat="1" ht="15.75" customHeight="1" x14ac:dyDescent="0.25">
      <c r="A1" s="2" t="s">
        <v>0</v>
      </c>
      <c r="B1" s="19" t="s">
        <v>1</v>
      </c>
      <c r="C1" s="23" t="s">
        <v>2</v>
      </c>
      <c r="D1" s="8" t="s">
        <v>4</v>
      </c>
      <c r="E1" s="8" t="s">
        <v>5</v>
      </c>
      <c r="F1" s="10" t="s">
        <v>256</v>
      </c>
      <c r="G1" s="15" t="s">
        <v>255</v>
      </c>
      <c r="H1" s="14" t="s">
        <v>259</v>
      </c>
      <c r="I1" s="27" t="s">
        <v>3</v>
      </c>
    </row>
    <row r="2" spans="1:9" ht="15.75" customHeight="1" x14ac:dyDescent="0.25">
      <c r="A2" s="7" t="s">
        <v>6</v>
      </c>
      <c r="B2" s="20">
        <v>202537248200</v>
      </c>
      <c r="C2" s="24">
        <v>45963</v>
      </c>
      <c r="D2" s="3" t="s">
        <v>7</v>
      </c>
      <c r="E2" s="4">
        <v>45699</v>
      </c>
      <c r="F2" s="9" t="str">
        <f ca="1">IF(TODAY()-C2&gt;180,"انتهت صلاحية القرار","القرار صالح")</f>
        <v>القرار صالح</v>
      </c>
      <c r="G2" s="16">
        <f ca="1">MAX(0,180-(TODAY()-C2))</f>
        <v>25</v>
      </c>
    </row>
    <row r="3" spans="1:9" ht="15.75" customHeight="1" x14ac:dyDescent="0.25">
      <c r="A3" s="7" t="s">
        <v>8</v>
      </c>
      <c r="B3" s="20">
        <v>202537248160</v>
      </c>
      <c r="C3" s="24">
        <v>45963</v>
      </c>
      <c r="D3" s="3" t="s">
        <v>7</v>
      </c>
      <c r="E3" s="4">
        <v>45788</v>
      </c>
      <c r="F3" s="9" t="str">
        <f ca="1">IF(TODAY()-C3&gt;180,"انتهت صلاحية القرار","القرار صالح")</f>
        <v>القرار صالح</v>
      </c>
      <c r="G3" s="16">
        <f ca="1">MAX(0,180-(TODAY()-C3))</f>
        <v>25</v>
      </c>
    </row>
    <row r="4" spans="1:9" ht="15.75" customHeight="1" x14ac:dyDescent="0.25">
      <c r="A4" s="7" t="s">
        <v>9</v>
      </c>
      <c r="B4" s="20">
        <v>202537248128</v>
      </c>
      <c r="C4" s="24">
        <v>45963</v>
      </c>
      <c r="D4" s="3" t="s">
        <v>7</v>
      </c>
      <c r="E4" s="4">
        <v>45911</v>
      </c>
      <c r="F4" s="9" t="str">
        <f ca="1">IF(TODAY()-C4&gt;180,"انتهت صلاحية القرار","القرار صالح")</f>
        <v>القرار صالح</v>
      </c>
      <c r="G4" s="16">
        <f ca="1">MAX(0,180-(TODAY()-C4))</f>
        <v>25</v>
      </c>
    </row>
    <row r="5" spans="1:9" ht="15.75" customHeight="1" x14ac:dyDescent="0.25">
      <c r="A5" s="7" t="s">
        <v>10</v>
      </c>
      <c r="B5" s="20">
        <v>202537248098</v>
      </c>
      <c r="C5" s="24">
        <v>45963</v>
      </c>
      <c r="D5" s="3" t="s">
        <v>7</v>
      </c>
      <c r="E5" s="4">
        <v>46113</v>
      </c>
      <c r="F5" s="9" t="str">
        <f ca="1">IF(TODAY()-C5&gt;180,"انتهت صلاحية القرار","القرار صالح")</f>
        <v>القرار صالح</v>
      </c>
      <c r="G5" s="16">
        <f ca="1">MAX(0,180-(TODAY()-C5))</f>
        <v>25</v>
      </c>
    </row>
    <row r="6" spans="1:9" ht="15.75" customHeight="1" x14ac:dyDescent="0.25">
      <c r="A6" s="7" t="s">
        <v>11</v>
      </c>
      <c r="B6" s="20">
        <v>202537248119</v>
      </c>
      <c r="C6" s="24">
        <v>45963</v>
      </c>
      <c r="D6" s="3" t="s">
        <v>7</v>
      </c>
      <c r="E6" s="1" t="s">
        <v>12</v>
      </c>
      <c r="F6" s="9" t="str">
        <f ca="1">IF(TODAY()-C6&gt;180,"انتهت صلاحية القرار","القرار صالح")</f>
        <v>القرار صالح</v>
      </c>
      <c r="G6" s="16">
        <f ca="1">MAX(0,180-(TODAY()-C6))</f>
        <v>25</v>
      </c>
    </row>
    <row r="7" spans="1:9" ht="15.75" customHeight="1" x14ac:dyDescent="0.25">
      <c r="A7" s="7" t="s">
        <v>13</v>
      </c>
      <c r="B7" s="20">
        <v>202537270634</v>
      </c>
      <c r="C7" s="24">
        <v>45964</v>
      </c>
      <c r="D7" s="3" t="s">
        <v>7</v>
      </c>
      <c r="E7" s="1" t="s">
        <v>14</v>
      </c>
      <c r="F7" s="9" t="str">
        <f ca="1">IF(TODAY()-C7&gt;180,"انتهت صلاحية القرار","القرار صالح")</f>
        <v>القرار صالح</v>
      </c>
      <c r="G7" s="16">
        <f ca="1">MAX(0,180-(TODAY()-C7))</f>
        <v>26</v>
      </c>
    </row>
    <row r="8" spans="1:9" ht="15.75" customHeight="1" x14ac:dyDescent="0.25">
      <c r="A8" s="7" t="s">
        <v>15</v>
      </c>
      <c r="B8" s="20">
        <v>202537273440</v>
      </c>
      <c r="C8" s="24">
        <v>45964</v>
      </c>
      <c r="D8" s="3" t="s">
        <v>16</v>
      </c>
      <c r="F8" s="9" t="str">
        <f ca="1">IF(TODAY()-C8&gt;180,"انتهت صلاحية القرار","القرار صالح")</f>
        <v>القرار صالح</v>
      </c>
      <c r="G8" s="16">
        <f ca="1">MAX(0,180-(TODAY()-C8))</f>
        <v>26</v>
      </c>
    </row>
    <row r="9" spans="1:9" ht="15.75" customHeight="1" x14ac:dyDescent="0.25">
      <c r="A9" s="7" t="s">
        <v>17</v>
      </c>
      <c r="B9" s="20">
        <v>202537315116</v>
      </c>
      <c r="C9" s="24">
        <v>45969</v>
      </c>
      <c r="D9" s="3" t="s">
        <v>7</v>
      </c>
      <c r="E9" s="1" t="s">
        <v>18</v>
      </c>
      <c r="F9" s="9" t="str">
        <f ca="1">IF(TODAY()-C9&gt;180,"انتهت صلاحية القرار","القرار صالح")</f>
        <v>القرار صالح</v>
      </c>
      <c r="G9" s="16">
        <f ca="1">MAX(0,180-(TODAY()-C9))</f>
        <v>31</v>
      </c>
    </row>
    <row r="10" spans="1:9" ht="15.75" customHeight="1" x14ac:dyDescent="0.25">
      <c r="A10" s="7" t="s">
        <v>19</v>
      </c>
      <c r="B10" s="20">
        <v>202537331612</v>
      </c>
      <c r="C10" s="24">
        <v>45970</v>
      </c>
      <c r="D10" s="3" t="s">
        <v>7</v>
      </c>
      <c r="E10" s="4">
        <v>46002</v>
      </c>
      <c r="F10" s="9" t="str">
        <f ca="1">IF(TODAY()-C10&gt;180,"انتهت صلاحية القرار","القرار صالح")</f>
        <v>القرار صالح</v>
      </c>
      <c r="G10" s="16">
        <f ca="1">MAX(0,180-(TODAY()-C10))</f>
        <v>32</v>
      </c>
    </row>
    <row r="11" spans="1:9" ht="15.75" customHeight="1" x14ac:dyDescent="0.25">
      <c r="A11" s="7" t="s">
        <v>20</v>
      </c>
      <c r="B11" s="20">
        <v>202537335930</v>
      </c>
      <c r="C11" s="24">
        <v>45970</v>
      </c>
      <c r="D11" s="3" t="s">
        <v>7</v>
      </c>
      <c r="E11" s="4">
        <v>46002</v>
      </c>
      <c r="F11" s="9" t="str">
        <f ca="1">IF(TODAY()-C11&gt;180,"انتهت صلاحية القرار","القرار صالح")</f>
        <v>القرار صالح</v>
      </c>
      <c r="G11" s="16">
        <f ca="1">MAX(0,180-(TODAY()-C11))</f>
        <v>32</v>
      </c>
    </row>
    <row r="12" spans="1:9" ht="15.75" customHeight="1" x14ac:dyDescent="0.25">
      <c r="A12" s="7" t="s">
        <v>21</v>
      </c>
      <c r="B12" s="20">
        <v>202537335939</v>
      </c>
      <c r="C12" s="24">
        <v>45970</v>
      </c>
      <c r="D12" s="3" t="s">
        <v>7</v>
      </c>
      <c r="E12" s="4">
        <v>46002</v>
      </c>
      <c r="F12" s="9" t="str">
        <f ca="1">IF(TODAY()-C12&gt;180,"انتهت صلاحية القرار","القرار صالح")</f>
        <v>القرار صالح</v>
      </c>
      <c r="G12" s="16">
        <f ca="1">MAX(0,180-(TODAY()-C12))</f>
        <v>32</v>
      </c>
    </row>
    <row r="13" spans="1:9" ht="15.75" customHeight="1" x14ac:dyDescent="0.25">
      <c r="A13" s="7" t="s">
        <v>22</v>
      </c>
      <c r="B13" s="20">
        <v>202537335988</v>
      </c>
      <c r="C13" s="24">
        <v>45970</v>
      </c>
      <c r="D13" s="3" t="s">
        <v>7</v>
      </c>
      <c r="E13" s="1" t="s">
        <v>23</v>
      </c>
      <c r="F13" s="9" t="str">
        <f ca="1">IF(TODAY()-C13&gt;180,"انتهت صلاحية القرار","القرار صالح")</f>
        <v>القرار صالح</v>
      </c>
      <c r="G13" s="16">
        <f ca="1">MAX(0,180-(TODAY()-C13))</f>
        <v>32</v>
      </c>
    </row>
    <row r="14" spans="1:9" ht="15.75" customHeight="1" x14ac:dyDescent="0.25">
      <c r="A14" s="7" t="s">
        <v>24</v>
      </c>
      <c r="B14" s="20">
        <v>202537335974</v>
      </c>
      <c r="C14" s="24">
        <v>45970</v>
      </c>
      <c r="D14" s="3" t="s">
        <v>7</v>
      </c>
      <c r="E14" s="1" t="s">
        <v>25</v>
      </c>
      <c r="F14" s="9" t="str">
        <f ca="1">IF(TODAY()-C14&gt;180,"انتهت صلاحية القرار","القرار صالح")</f>
        <v>القرار صالح</v>
      </c>
      <c r="G14" s="16">
        <f ca="1">MAX(0,180-(TODAY()-C14))</f>
        <v>32</v>
      </c>
    </row>
    <row r="15" spans="1:9" ht="15.75" customHeight="1" x14ac:dyDescent="0.25">
      <c r="A15" s="7" t="s">
        <v>26</v>
      </c>
      <c r="B15" s="20">
        <v>202537335966</v>
      </c>
      <c r="C15" s="24">
        <v>45970</v>
      </c>
      <c r="D15" s="3" t="s">
        <v>7</v>
      </c>
      <c r="E15" s="4">
        <v>46002</v>
      </c>
      <c r="F15" s="9" t="str">
        <f ca="1">IF(TODAY()-C15&gt;180,"انتهت صلاحية القرار","القرار صالح")</f>
        <v>القرار صالح</v>
      </c>
      <c r="G15" s="16">
        <f ca="1">MAX(0,180-(TODAY()-C15))</f>
        <v>32</v>
      </c>
    </row>
    <row r="16" spans="1:9" ht="15.75" customHeight="1" x14ac:dyDescent="0.25">
      <c r="A16" s="7" t="s">
        <v>27</v>
      </c>
      <c r="B16" s="20">
        <v>202537335918</v>
      </c>
      <c r="C16" s="24">
        <v>45970</v>
      </c>
      <c r="D16" s="3" t="s">
        <v>16</v>
      </c>
      <c r="F16" s="9" t="str">
        <f ca="1">IF(TODAY()-C16&gt;180,"انتهت صلاحية القرار","القرار صالح")</f>
        <v>القرار صالح</v>
      </c>
      <c r="G16" s="16">
        <f ca="1">MAX(0,180-(TODAY()-C16))</f>
        <v>32</v>
      </c>
    </row>
    <row r="17" spans="1:7" ht="15.75" customHeight="1" x14ac:dyDescent="0.25">
      <c r="A17" s="7" t="s">
        <v>28</v>
      </c>
      <c r="B17" s="20">
        <v>202537393208</v>
      </c>
      <c r="C17" s="24">
        <v>45976</v>
      </c>
      <c r="D17" s="3" t="s">
        <v>7</v>
      </c>
      <c r="E17" s="4">
        <v>45850</v>
      </c>
      <c r="F17" s="9" t="str">
        <f ca="1">IF(TODAY()-C17&gt;180,"انتهت صلاحية القرار","القرار صالح")</f>
        <v>القرار صالح</v>
      </c>
      <c r="G17" s="16">
        <f ca="1">MAX(0,180-(TODAY()-C17))</f>
        <v>38</v>
      </c>
    </row>
    <row r="18" spans="1:7" ht="15.75" customHeight="1" x14ac:dyDescent="0.25">
      <c r="A18" s="7" t="s">
        <v>29</v>
      </c>
      <c r="B18" s="20">
        <v>202537393197</v>
      </c>
      <c r="C18" s="24">
        <v>45976</v>
      </c>
      <c r="D18" s="3" t="s">
        <v>7</v>
      </c>
      <c r="E18" s="4">
        <v>46113</v>
      </c>
      <c r="F18" s="9" t="str">
        <f ca="1">IF(TODAY()-C18&gt;180,"انتهت صلاحية القرار","القرار صالح")</f>
        <v>القرار صالح</v>
      </c>
      <c r="G18" s="16">
        <f ca="1">MAX(0,180-(TODAY()-C18))</f>
        <v>38</v>
      </c>
    </row>
    <row r="19" spans="1:7" ht="15.75" customHeight="1" x14ac:dyDescent="0.25">
      <c r="A19" s="7" t="s">
        <v>30</v>
      </c>
      <c r="B19" s="20">
        <v>202537393193</v>
      </c>
      <c r="C19" s="24">
        <v>45976</v>
      </c>
      <c r="D19" s="3" t="s">
        <v>7</v>
      </c>
      <c r="E19" s="1" t="s">
        <v>23</v>
      </c>
      <c r="F19" s="9" t="str">
        <f ca="1">IF(TODAY()-C19&gt;180,"انتهت صلاحية القرار","القرار صالح")</f>
        <v>القرار صالح</v>
      </c>
      <c r="G19" s="16">
        <f ca="1">MAX(0,180-(TODAY()-C19))</f>
        <v>38</v>
      </c>
    </row>
    <row r="20" spans="1:7" ht="15.75" customHeight="1" x14ac:dyDescent="0.25">
      <c r="A20" s="7" t="s">
        <v>31</v>
      </c>
      <c r="B20" s="20">
        <v>202537393200</v>
      </c>
      <c r="C20" s="24">
        <v>45976</v>
      </c>
      <c r="D20" s="3" t="s">
        <v>7</v>
      </c>
      <c r="E20" s="1" t="s">
        <v>23</v>
      </c>
      <c r="F20" s="9" t="str">
        <f ca="1">IF(TODAY()-C20&gt;180,"انتهت صلاحية القرار","القرار صالح")</f>
        <v>القرار صالح</v>
      </c>
      <c r="G20" s="16">
        <f ca="1">MAX(0,180-(TODAY()-C20))</f>
        <v>38</v>
      </c>
    </row>
    <row r="21" spans="1:7" ht="15.75" customHeight="1" x14ac:dyDescent="0.25">
      <c r="A21" s="7" t="s">
        <v>32</v>
      </c>
      <c r="B21" s="20">
        <v>202537393185</v>
      </c>
      <c r="C21" s="24">
        <v>45976</v>
      </c>
      <c r="D21" s="3" t="s">
        <v>7</v>
      </c>
      <c r="E21" s="1" t="s">
        <v>33</v>
      </c>
      <c r="F21" s="9" t="str">
        <f ca="1">IF(TODAY()-C21&gt;180,"انتهت صلاحية القرار","القرار صالح")</f>
        <v>القرار صالح</v>
      </c>
      <c r="G21" s="16">
        <f ca="1">MAX(0,180-(TODAY()-C21))</f>
        <v>38</v>
      </c>
    </row>
    <row r="22" spans="1:7" ht="15.75" customHeight="1" x14ac:dyDescent="0.25">
      <c r="A22" s="7" t="s">
        <v>34</v>
      </c>
      <c r="B22" s="20">
        <v>202537431450</v>
      </c>
      <c r="C22" s="24">
        <v>45979</v>
      </c>
      <c r="D22" s="3" t="s">
        <v>7</v>
      </c>
      <c r="E22" s="1" t="s">
        <v>35</v>
      </c>
      <c r="F22" s="9" t="str">
        <f ca="1">IF(TODAY()-C22&gt;180,"انتهت صلاحية القرار","القرار صالح")</f>
        <v>القرار صالح</v>
      </c>
      <c r="G22" s="16">
        <f ca="1">MAX(0,180-(TODAY()-C22))</f>
        <v>41</v>
      </c>
    </row>
    <row r="23" spans="1:7" ht="15.75" customHeight="1" x14ac:dyDescent="0.25">
      <c r="A23" s="7" t="s">
        <v>36</v>
      </c>
      <c r="B23" s="20">
        <v>202537431392</v>
      </c>
      <c r="C23" s="24">
        <v>45979</v>
      </c>
      <c r="D23" s="3" t="s">
        <v>7</v>
      </c>
      <c r="E23" s="1" t="s">
        <v>25</v>
      </c>
      <c r="F23" s="9" t="str">
        <f ca="1">IF(TODAY()-C23&gt;180,"انتهت صلاحية القرار","القرار صالح")</f>
        <v>القرار صالح</v>
      </c>
      <c r="G23" s="16">
        <f ca="1">MAX(0,180-(TODAY()-C23))</f>
        <v>41</v>
      </c>
    </row>
    <row r="24" spans="1:7" ht="15.75" customHeight="1" x14ac:dyDescent="0.25">
      <c r="A24" s="7" t="s">
        <v>37</v>
      </c>
      <c r="B24" s="20">
        <v>202537431423</v>
      </c>
      <c r="C24" s="24">
        <v>45979</v>
      </c>
      <c r="D24" s="3" t="s">
        <v>7</v>
      </c>
      <c r="E24" s="1" t="s">
        <v>25</v>
      </c>
      <c r="F24" s="9" t="str">
        <f ca="1">IF(TODAY()-C24&gt;180,"انتهت صلاحية القرار","القرار صالح")</f>
        <v>القرار صالح</v>
      </c>
      <c r="G24" s="16">
        <f ca="1">MAX(0,180-(TODAY()-C24))</f>
        <v>41</v>
      </c>
    </row>
    <row r="25" spans="1:7" ht="15.75" customHeight="1" x14ac:dyDescent="0.25">
      <c r="A25" s="7" t="s">
        <v>38</v>
      </c>
      <c r="B25" s="20">
        <v>202537431467</v>
      </c>
      <c r="C25" s="24">
        <v>45979</v>
      </c>
      <c r="D25" s="3" t="s">
        <v>7</v>
      </c>
      <c r="E25" s="1" t="s">
        <v>18</v>
      </c>
      <c r="F25" s="9" t="str">
        <f ca="1">IF(TODAY()-C25&gt;180,"انتهت صلاحية القرار","القرار صالح")</f>
        <v>القرار صالح</v>
      </c>
      <c r="G25" s="16">
        <f ca="1">MAX(0,180-(TODAY()-C25))</f>
        <v>41</v>
      </c>
    </row>
    <row r="26" spans="1:7" ht="15.75" customHeight="1" x14ac:dyDescent="0.25">
      <c r="A26" s="7" t="s">
        <v>39</v>
      </c>
      <c r="B26" s="20">
        <v>202537477637</v>
      </c>
      <c r="C26" s="24">
        <v>45983</v>
      </c>
      <c r="D26" s="3" t="s">
        <v>7</v>
      </c>
      <c r="E26" s="4">
        <v>45728</v>
      </c>
      <c r="F26" s="9" t="str">
        <f ca="1">IF(TODAY()-C26&gt;180,"انتهت صلاحية القرار","القرار صالح")</f>
        <v>القرار صالح</v>
      </c>
      <c r="G26" s="16">
        <f ca="1">MAX(0,180-(TODAY()-C26))</f>
        <v>45</v>
      </c>
    </row>
    <row r="27" spans="1:7" ht="15.75" customHeight="1" x14ac:dyDescent="0.25">
      <c r="A27" s="7" t="s">
        <v>40</v>
      </c>
      <c r="B27" s="20">
        <v>202537477613</v>
      </c>
      <c r="C27" s="24">
        <v>45983</v>
      </c>
      <c r="D27" s="3" t="s">
        <v>7</v>
      </c>
      <c r="E27" s="4">
        <v>45942</v>
      </c>
      <c r="F27" s="9" t="str">
        <f ca="1">IF(TODAY()-C27&gt;180,"انتهت صلاحية القرار","القرار صالح")</f>
        <v>القرار صالح</v>
      </c>
      <c r="G27" s="16">
        <f ca="1">MAX(0,180-(TODAY()-C27))</f>
        <v>45</v>
      </c>
    </row>
    <row r="28" spans="1:7" ht="15.75" customHeight="1" x14ac:dyDescent="0.25">
      <c r="A28" s="7" t="s">
        <v>41</v>
      </c>
      <c r="B28" s="20">
        <v>202537477623</v>
      </c>
      <c r="C28" s="24">
        <v>45983</v>
      </c>
      <c r="D28" s="3" t="s">
        <v>7</v>
      </c>
      <c r="E28" s="1" t="s">
        <v>18</v>
      </c>
      <c r="F28" s="9" t="str">
        <f ca="1">IF(TODAY()-C28&gt;180,"انتهت صلاحية القرار","القرار صالح")</f>
        <v>القرار صالح</v>
      </c>
      <c r="G28" s="16">
        <f ca="1">MAX(0,180-(TODAY()-C28))</f>
        <v>45</v>
      </c>
    </row>
    <row r="29" spans="1:7" ht="15.75" customHeight="1" x14ac:dyDescent="0.25">
      <c r="A29" s="7" t="s">
        <v>42</v>
      </c>
      <c r="B29" s="20">
        <v>202537477548</v>
      </c>
      <c r="C29" s="24">
        <v>45983</v>
      </c>
      <c r="D29" s="3" t="s">
        <v>7</v>
      </c>
      <c r="E29" s="1" t="s">
        <v>18</v>
      </c>
      <c r="F29" s="9" t="str">
        <f ca="1">IF(TODAY()-C29&gt;180,"انتهت صلاحية القرار","القرار صالح")</f>
        <v>القرار صالح</v>
      </c>
      <c r="G29" s="16">
        <f ca="1">MAX(0,180-(TODAY()-C29))</f>
        <v>45</v>
      </c>
    </row>
    <row r="30" spans="1:7" ht="15.75" customHeight="1" x14ac:dyDescent="0.25">
      <c r="A30" s="7" t="s">
        <v>43</v>
      </c>
      <c r="B30" s="20">
        <v>202537477526</v>
      </c>
      <c r="C30" s="24">
        <v>45983</v>
      </c>
      <c r="D30" s="3" t="s">
        <v>7</v>
      </c>
      <c r="E30" s="1" t="s">
        <v>44</v>
      </c>
      <c r="F30" s="9" t="str">
        <f ca="1">IF(TODAY()-C30&gt;180,"انتهت صلاحية القرار","القرار صالح")</f>
        <v>القرار صالح</v>
      </c>
      <c r="G30" s="16">
        <f ca="1">MAX(0,180-(TODAY()-C30))</f>
        <v>45</v>
      </c>
    </row>
    <row r="31" spans="1:7" ht="15.75" customHeight="1" x14ac:dyDescent="0.25">
      <c r="A31" s="7" t="s">
        <v>45</v>
      </c>
      <c r="B31" s="20">
        <v>202537477584</v>
      </c>
      <c r="C31" s="24">
        <v>45983</v>
      </c>
      <c r="D31" s="3" t="s">
        <v>7</v>
      </c>
      <c r="E31" s="1" t="s">
        <v>44</v>
      </c>
      <c r="F31" s="9" t="str">
        <f ca="1">IF(TODAY()-C31&gt;180,"انتهت صلاحية القرار","القرار صالح")</f>
        <v>القرار صالح</v>
      </c>
      <c r="G31" s="16">
        <f ca="1">MAX(0,180-(TODAY()-C31))</f>
        <v>45</v>
      </c>
    </row>
    <row r="32" spans="1:7" ht="15.75" customHeight="1" x14ac:dyDescent="0.25">
      <c r="A32" s="7" t="s">
        <v>46</v>
      </c>
      <c r="B32" s="20">
        <v>202537477570</v>
      </c>
      <c r="C32" s="24">
        <v>45983</v>
      </c>
      <c r="D32" s="3" t="s">
        <v>7</v>
      </c>
      <c r="E32" s="1" t="s">
        <v>44</v>
      </c>
      <c r="F32" s="9" t="str">
        <f ca="1">IF(TODAY()-C32&gt;180,"انتهت صلاحية القرار","القرار صالح")</f>
        <v>القرار صالح</v>
      </c>
      <c r="G32" s="16">
        <f ca="1">MAX(0,180-(TODAY()-C32))</f>
        <v>45</v>
      </c>
    </row>
    <row r="33" spans="1:7" ht="15.75" customHeight="1" x14ac:dyDescent="0.25">
      <c r="A33" s="7" t="s">
        <v>47</v>
      </c>
      <c r="B33" s="20">
        <v>202537527918</v>
      </c>
      <c r="C33" s="24">
        <v>45986</v>
      </c>
      <c r="D33" s="3" t="s">
        <v>7</v>
      </c>
      <c r="E33" s="4">
        <v>46113</v>
      </c>
      <c r="F33" s="9" t="str">
        <f ca="1">IF(TODAY()-C33&gt;180,"انتهت صلاحية القرار","القرار صالح")</f>
        <v>القرار صالح</v>
      </c>
      <c r="G33" s="16">
        <f ca="1">MAX(0,180-(TODAY()-C33))</f>
        <v>48</v>
      </c>
    </row>
    <row r="34" spans="1:7" ht="15.75" customHeight="1" x14ac:dyDescent="0.25">
      <c r="A34" s="7" t="s">
        <v>48</v>
      </c>
      <c r="B34" s="20">
        <v>202537527921</v>
      </c>
      <c r="C34" s="24">
        <v>45986</v>
      </c>
      <c r="D34" s="3" t="s">
        <v>7</v>
      </c>
      <c r="E34" s="4">
        <v>46113</v>
      </c>
      <c r="F34" s="9" t="str">
        <f ca="1">IF(TODAY()-C34&gt;180,"انتهت صلاحية القرار","القرار صالح")</f>
        <v>القرار صالح</v>
      </c>
      <c r="G34" s="16">
        <f ca="1">MAX(0,180-(TODAY()-C34))</f>
        <v>48</v>
      </c>
    </row>
    <row r="35" spans="1:7" ht="15.75" customHeight="1" x14ac:dyDescent="0.25">
      <c r="A35" s="7" t="s">
        <v>49</v>
      </c>
      <c r="B35" s="20">
        <v>202537527761</v>
      </c>
      <c r="C35" s="24">
        <v>45986</v>
      </c>
      <c r="D35" s="3" t="s">
        <v>7</v>
      </c>
      <c r="E35" s="1" t="s">
        <v>44</v>
      </c>
      <c r="F35" s="9" t="str">
        <f ca="1">IF(TODAY()-C35&gt;180,"انتهت صلاحية القرار","القرار صالح")</f>
        <v>القرار صالح</v>
      </c>
      <c r="G35" s="16">
        <f ca="1">MAX(0,180-(TODAY()-C35))</f>
        <v>48</v>
      </c>
    </row>
    <row r="36" spans="1:7" ht="15.75" customHeight="1" x14ac:dyDescent="0.25">
      <c r="A36" s="7" t="s">
        <v>50</v>
      </c>
      <c r="B36" s="20">
        <v>202537527821</v>
      </c>
      <c r="C36" s="24">
        <v>45986</v>
      </c>
      <c r="D36" s="3" t="s">
        <v>7</v>
      </c>
      <c r="E36" s="1" t="s">
        <v>44</v>
      </c>
      <c r="F36" s="9" t="str">
        <f ca="1">IF(TODAY()-C36&gt;180,"انتهت صلاحية القرار","القرار صالح")</f>
        <v>القرار صالح</v>
      </c>
      <c r="G36" s="16">
        <f ca="1">MAX(0,180-(TODAY()-C36))</f>
        <v>48</v>
      </c>
    </row>
    <row r="37" spans="1:7" ht="15.75" customHeight="1" x14ac:dyDescent="0.25">
      <c r="A37" s="7" t="s">
        <v>51</v>
      </c>
      <c r="B37" s="20">
        <v>202537527826</v>
      </c>
      <c r="C37" s="24">
        <v>45986</v>
      </c>
      <c r="D37" s="3" t="s">
        <v>7</v>
      </c>
      <c r="E37" s="1" t="s">
        <v>44</v>
      </c>
      <c r="F37" s="9" t="str">
        <f ca="1">IF(TODAY()-C37&gt;180,"انتهت صلاحية القرار","القرار صالح")</f>
        <v>القرار صالح</v>
      </c>
      <c r="G37" s="16">
        <f ca="1">MAX(0,180-(TODAY()-C37))</f>
        <v>48</v>
      </c>
    </row>
    <row r="38" spans="1:7" ht="15.75" customHeight="1" x14ac:dyDescent="0.25">
      <c r="A38" s="7" t="s">
        <v>52</v>
      </c>
      <c r="B38" s="20">
        <v>202537529491</v>
      </c>
      <c r="C38" s="24">
        <v>45987</v>
      </c>
      <c r="D38" s="3" t="s">
        <v>7</v>
      </c>
      <c r="E38" s="1" t="s">
        <v>44</v>
      </c>
      <c r="F38" s="9" t="str">
        <f ca="1">IF(TODAY()-C38&gt;180,"انتهت صلاحية القرار","القرار صالح")</f>
        <v>القرار صالح</v>
      </c>
      <c r="G38" s="16">
        <f ca="1">MAX(0,180-(TODAY()-C38))</f>
        <v>49</v>
      </c>
    </row>
    <row r="39" spans="1:7" ht="15.75" customHeight="1" x14ac:dyDescent="0.25">
      <c r="A39" s="7" t="s">
        <v>53</v>
      </c>
      <c r="B39" s="20">
        <v>202537559651</v>
      </c>
      <c r="C39" s="24">
        <v>45990</v>
      </c>
      <c r="D39" s="3" t="s">
        <v>7</v>
      </c>
      <c r="E39" s="4">
        <v>45728</v>
      </c>
      <c r="F39" s="9" t="str">
        <f ca="1">IF(TODAY()-C39&gt;180,"انتهت صلاحية القرار","القرار صالح")</f>
        <v>القرار صالح</v>
      </c>
      <c r="G39" s="16">
        <f ca="1">MAX(0,180-(TODAY()-C39))</f>
        <v>52</v>
      </c>
    </row>
    <row r="40" spans="1:7" ht="15.75" customHeight="1" x14ac:dyDescent="0.25">
      <c r="A40" s="7" t="s">
        <v>54</v>
      </c>
      <c r="B40" s="20">
        <v>202537565288</v>
      </c>
      <c r="C40" s="24">
        <v>45990</v>
      </c>
      <c r="D40" s="3" t="s">
        <v>7</v>
      </c>
      <c r="E40" s="4">
        <v>45850</v>
      </c>
      <c r="F40" s="9" t="str">
        <f ca="1">IF(TODAY()-C40&gt;180,"انتهت صلاحية القرار","القرار صالح")</f>
        <v>القرار صالح</v>
      </c>
      <c r="G40" s="16">
        <f ca="1">MAX(0,180-(TODAY()-C40))</f>
        <v>52</v>
      </c>
    </row>
    <row r="41" spans="1:7" ht="15.75" customHeight="1" x14ac:dyDescent="0.25">
      <c r="A41" s="7" t="s">
        <v>55</v>
      </c>
      <c r="B41" s="20">
        <v>202537564289</v>
      </c>
      <c r="C41" s="24">
        <v>45990</v>
      </c>
      <c r="D41" s="3" t="s">
        <v>7</v>
      </c>
      <c r="E41" s="4">
        <v>45942</v>
      </c>
      <c r="F41" s="9" t="str">
        <f ca="1">IF(TODAY()-C41&gt;180,"انتهت صلاحية القرار","القرار صالح")</f>
        <v>القرار صالح</v>
      </c>
      <c r="G41" s="16">
        <f ca="1">MAX(0,180-(TODAY()-C41))</f>
        <v>52</v>
      </c>
    </row>
    <row r="42" spans="1:7" ht="15.75" customHeight="1" x14ac:dyDescent="0.25">
      <c r="A42" s="7" t="s">
        <v>56</v>
      </c>
      <c r="B42" s="20">
        <v>202537565059</v>
      </c>
      <c r="C42" s="24">
        <v>45990</v>
      </c>
      <c r="D42" s="3" t="s">
        <v>7</v>
      </c>
      <c r="E42" s="1" t="s">
        <v>57</v>
      </c>
      <c r="F42" s="9" t="str">
        <f ca="1">IF(TODAY()-C42&gt;180,"انتهت صلاحية القرار","القرار صالح")</f>
        <v>القرار صالح</v>
      </c>
      <c r="G42" s="16">
        <f ca="1">MAX(0,180-(TODAY()-C42))</f>
        <v>52</v>
      </c>
    </row>
    <row r="43" spans="1:7" ht="15.75" customHeight="1" x14ac:dyDescent="0.25">
      <c r="A43" s="7" t="s">
        <v>58</v>
      </c>
      <c r="B43" s="20">
        <v>202537565284</v>
      </c>
      <c r="C43" s="24">
        <v>45990</v>
      </c>
      <c r="D43" s="3" t="s">
        <v>7</v>
      </c>
      <c r="E43" s="1" t="s">
        <v>59</v>
      </c>
      <c r="F43" s="9" t="str">
        <f ca="1">IF(TODAY()-C43&gt;180,"انتهت صلاحية القرار","القرار صالح")</f>
        <v>القرار صالح</v>
      </c>
      <c r="G43" s="16">
        <f ca="1">MAX(0,180-(TODAY()-C43))</f>
        <v>52</v>
      </c>
    </row>
    <row r="44" spans="1:7" ht="15.75" customHeight="1" x14ac:dyDescent="0.25">
      <c r="A44" s="7" t="s">
        <v>60</v>
      </c>
      <c r="B44" s="20">
        <v>202537564294</v>
      </c>
      <c r="C44" s="24">
        <v>45990</v>
      </c>
      <c r="D44" s="3" t="s">
        <v>16</v>
      </c>
      <c r="F44" s="9" t="str">
        <f ca="1">IF(TODAY()-C44&gt;180,"انتهت صلاحية القرار","القرار صالح")</f>
        <v>القرار صالح</v>
      </c>
      <c r="G44" s="16">
        <f ca="1">MAX(0,180-(TODAY()-C44))</f>
        <v>52</v>
      </c>
    </row>
    <row r="45" spans="1:7" ht="15.75" customHeight="1" x14ac:dyDescent="0.25">
      <c r="A45" s="3" t="s">
        <v>61</v>
      </c>
      <c r="B45" s="21">
        <v>202537609332</v>
      </c>
      <c r="C45" s="25">
        <v>45993</v>
      </c>
      <c r="D45" s="3" t="s">
        <v>7</v>
      </c>
      <c r="E45" s="4">
        <v>45728</v>
      </c>
      <c r="F45" s="9" t="str">
        <f ca="1">IF(TODAY()-C45&gt;180,"انتهت صلاحية القرار","القرار صالح")</f>
        <v>القرار صالح</v>
      </c>
      <c r="G45" s="16">
        <f ca="1">MAX(0,180-(TODAY()-C45))</f>
        <v>55</v>
      </c>
    </row>
    <row r="46" spans="1:7" ht="15.75" customHeight="1" x14ac:dyDescent="0.25">
      <c r="A46" s="3" t="s">
        <v>62</v>
      </c>
      <c r="B46" s="21">
        <v>202537610083</v>
      </c>
      <c r="C46" s="25">
        <v>45993</v>
      </c>
      <c r="D46" s="3" t="s">
        <v>7</v>
      </c>
      <c r="E46" s="4">
        <v>45728</v>
      </c>
      <c r="F46" s="9" t="str">
        <f ca="1">IF(TODAY()-C46&gt;180,"انتهت صلاحية القرار","القرار صالح")</f>
        <v>القرار صالح</v>
      </c>
      <c r="G46" s="16">
        <f ca="1">MAX(0,180-(TODAY()-C46))</f>
        <v>55</v>
      </c>
    </row>
    <row r="47" spans="1:7" ht="15.75" customHeight="1" x14ac:dyDescent="0.25">
      <c r="A47" s="3" t="s">
        <v>63</v>
      </c>
      <c r="B47" s="21">
        <v>202537609333</v>
      </c>
      <c r="C47" s="25">
        <v>45993</v>
      </c>
      <c r="D47" s="3" t="s">
        <v>7</v>
      </c>
      <c r="E47" s="4">
        <v>45850</v>
      </c>
      <c r="F47" s="9" t="str">
        <f ca="1">IF(TODAY()-C47&gt;180,"انتهت صلاحية القرار","القرار صالح")</f>
        <v>القرار صالح</v>
      </c>
      <c r="G47" s="16">
        <f ca="1">MAX(0,180-(TODAY()-C47))</f>
        <v>55</v>
      </c>
    </row>
    <row r="48" spans="1:7" ht="15.75" customHeight="1" x14ac:dyDescent="0.25">
      <c r="A48" s="3" t="s">
        <v>64</v>
      </c>
      <c r="B48" s="21">
        <v>202537610080</v>
      </c>
      <c r="C48" s="25">
        <v>45993</v>
      </c>
      <c r="D48" s="3" t="s">
        <v>7</v>
      </c>
      <c r="E48" s="4">
        <v>45850</v>
      </c>
      <c r="F48" s="9" t="str">
        <f ca="1">IF(TODAY()-C48&gt;180,"انتهت صلاحية القرار","القرار صالح")</f>
        <v>القرار صالح</v>
      </c>
      <c r="G48" s="16">
        <f ca="1">MAX(0,180-(TODAY()-C48))</f>
        <v>55</v>
      </c>
    </row>
    <row r="49" spans="1:7" ht="15.75" customHeight="1" x14ac:dyDescent="0.25">
      <c r="A49" s="3" t="s">
        <v>65</v>
      </c>
      <c r="B49" s="21">
        <v>202537610078</v>
      </c>
      <c r="C49" s="25">
        <v>45993</v>
      </c>
      <c r="D49" s="3" t="s">
        <v>7</v>
      </c>
      <c r="E49" s="4">
        <v>45850</v>
      </c>
      <c r="F49" s="9" t="str">
        <f ca="1">IF(TODAY()-C49&gt;180,"انتهت صلاحية القرار","القرار صالح")</f>
        <v>القرار صالح</v>
      </c>
      <c r="G49" s="16">
        <f ca="1">MAX(0,180-(TODAY()-C49))</f>
        <v>55</v>
      </c>
    </row>
    <row r="50" spans="1:7" ht="15.75" customHeight="1" x14ac:dyDescent="0.25">
      <c r="A50" s="3" t="s">
        <v>66</v>
      </c>
      <c r="B50" s="21">
        <v>202537610082</v>
      </c>
      <c r="C50" s="25">
        <v>45993</v>
      </c>
      <c r="D50" s="3" t="s">
        <v>7</v>
      </c>
      <c r="E50" s="4">
        <v>45850</v>
      </c>
      <c r="F50" s="9" t="str">
        <f ca="1">IF(TODAY()-C50&gt;180,"انتهت صلاحية القرار","القرار صالح")</f>
        <v>القرار صالح</v>
      </c>
      <c r="G50" s="16">
        <f ca="1">MAX(0,180-(TODAY()-C50))</f>
        <v>55</v>
      </c>
    </row>
    <row r="51" spans="1:7" ht="15.75" customHeight="1" x14ac:dyDescent="0.25">
      <c r="A51" s="3" t="s">
        <v>67</v>
      </c>
      <c r="B51" s="21">
        <v>202537610081</v>
      </c>
      <c r="C51" s="25">
        <v>45993</v>
      </c>
      <c r="D51" s="3" t="s">
        <v>7</v>
      </c>
      <c r="E51" s="1" t="s">
        <v>68</v>
      </c>
      <c r="F51" s="9" t="str">
        <f ca="1">IF(TODAY()-C51&gt;180,"انتهت صلاحية القرار","القرار صالح")</f>
        <v>القرار صالح</v>
      </c>
      <c r="G51" s="16">
        <f ca="1">MAX(0,180-(TODAY()-C51))</f>
        <v>55</v>
      </c>
    </row>
    <row r="52" spans="1:7" ht="15.75" customHeight="1" x14ac:dyDescent="0.25">
      <c r="A52" s="3" t="s">
        <v>69</v>
      </c>
      <c r="B52" s="21">
        <v>202537610079</v>
      </c>
      <c r="C52" s="25">
        <v>45993</v>
      </c>
      <c r="D52" s="3" t="s">
        <v>7</v>
      </c>
      <c r="E52" s="1" t="s">
        <v>70</v>
      </c>
      <c r="F52" s="9" t="str">
        <f ca="1">IF(TODAY()-C52&gt;180,"انتهت صلاحية القرار","القرار صالح")</f>
        <v>القرار صالح</v>
      </c>
      <c r="G52" s="16">
        <f ca="1">MAX(0,180-(TODAY()-C52))</f>
        <v>55</v>
      </c>
    </row>
    <row r="53" spans="1:7" ht="15.75" customHeight="1" x14ac:dyDescent="0.25">
      <c r="A53" s="3" t="s">
        <v>71</v>
      </c>
      <c r="B53" s="21">
        <v>202537661643</v>
      </c>
      <c r="C53" s="25">
        <v>45998</v>
      </c>
      <c r="D53" s="3" t="s">
        <v>7</v>
      </c>
      <c r="E53" s="4">
        <v>45942</v>
      </c>
      <c r="F53" s="9" t="str">
        <f ca="1">IF(TODAY()-C53&gt;180,"انتهت صلاحية القرار","القرار صالح")</f>
        <v>القرار صالح</v>
      </c>
      <c r="G53" s="16">
        <f ca="1">MAX(0,180-(TODAY()-C53))</f>
        <v>60</v>
      </c>
    </row>
    <row r="54" spans="1:7" ht="15.75" customHeight="1" x14ac:dyDescent="0.25">
      <c r="A54" s="3" t="s">
        <v>72</v>
      </c>
      <c r="B54" s="21">
        <v>202537661637</v>
      </c>
      <c r="C54" s="25">
        <v>45998</v>
      </c>
      <c r="D54" s="3" t="s">
        <v>7</v>
      </c>
      <c r="E54" s="4">
        <v>45942</v>
      </c>
      <c r="F54" s="9" t="str">
        <f ca="1">IF(TODAY()-C54&gt;180,"انتهت صلاحية القرار","القرار صالح")</f>
        <v>القرار صالح</v>
      </c>
      <c r="G54" s="16">
        <f ca="1">MAX(0,180-(TODAY()-C54))</f>
        <v>60</v>
      </c>
    </row>
    <row r="55" spans="1:7" ht="15.75" customHeight="1" x14ac:dyDescent="0.25">
      <c r="A55" s="3" t="s">
        <v>73</v>
      </c>
      <c r="B55" s="21">
        <v>202537661639</v>
      </c>
      <c r="C55" s="25">
        <v>45998</v>
      </c>
      <c r="D55" s="3" t="s">
        <v>7</v>
      </c>
      <c r="E55" s="4">
        <v>45942</v>
      </c>
      <c r="F55" s="9" t="str">
        <f ca="1">IF(TODAY()-C55&gt;180,"انتهت صلاحية القرار","القرار صالح")</f>
        <v>القرار صالح</v>
      </c>
      <c r="G55" s="16">
        <f ca="1">MAX(0,180-(TODAY()-C55))</f>
        <v>60</v>
      </c>
    </row>
    <row r="56" spans="1:7" ht="15.75" customHeight="1" x14ac:dyDescent="0.25">
      <c r="A56" s="3" t="s">
        <v>74</v>
      </c>
      <c r="B56" s="21">
        <v>202537661641</v>
      </c>
      <c r="C56" s="25">
        <v>45998</v>
      </c>
      <c r="D56" s="3" t="s">
        <v>7</v>
      </c>
      <c r="E56" s="4">
        <v>45942</v>
      </c>
      <c r="F56" s="9" t="str">
        <f ca="1">IF(TODAY()-C56&gt;180,"انتهت صلاحية القرار","القرار صالح")</f>
        <v>القرار صالح</v>
      </c>
      <c r="G56" s="16">
        <f ca="1">MAX(0,180-(TODAY()-C56))</f>
        <v>60</v>
      </c>
    </row>
    <row r="57" spans="1:7" ht="15.75" customHeight="1" x14ac:dyDescent="0.25">
      <c r="A57" s="3" t="s">
        <v>75</v>
      </c>
      <c r="B57" s="21">
        <v>202537661640</v>
      </c>
      <c r="C57" s="25">
        <v>45998</v>
      </c>
      <c r="D57" s="3" t="s">
        <v>7</v>
      </c>
      <c r="E57" s="1" t="s">
        <v>35</v>
      </c>
      <c r="F57" s="9" t="str">
        <f ca="1">IF(TODAY()-C57&gt;180,"انتهت صلاحية القرار","القرار صالح")</f>
        <v>القرار صالح</v>
      </c>
      <c r="G57" s="16">
        <f ca="1">MAX(0,180-(TODAY()-C57))</f>
        <v>60</v>
      </c>
    </row>
    <row r="58" spans="1:7" ht="15.75" customHeight="1" x14ac:dyDescent="0.25">
      <c r="A58" s="3" t="s">
        <v>76</v>
      </c>
      <c r="B58" s="21">
        <v>202537661642</v>
      </c>
      <c r="C58" s="25">
        <v>45998</v>
      </c>
      <c r="D58" s="3" t="s">
        <v>7</v>
      </c>
      <c r="E58" s="1" t="s">
        <v>35</v>
      </c>
      <c r="F58" s="9" t="str">
        <f ca="1">IF(TODAY()-C58&gt;180,"انتهت صلاحية القرار","القرار صالح")</f>
        <v>القرار صالح</v>
      </c>
      <c r="G58" s="16">
        <f ca="1">MAX(0,180-(TODAY()-C58))</f>
        <v>60</v>
      </c>
    </row>
    <row r="59" spans="1:7" ht="15.75" customHeight="1" x14ac:dyDescent="0.25">
      <c r="A59" s="3" t="s">
        <v>77</v>
      </c>
      <c r="B59" s="21">
        <v>202537694124</v>
      </c>
      <c r="C59" s="25">
        <v>46000</v>
      </c>
      <c r="D59" s="3" t="s">
        <v>7</v>
      </c>
      <c r="E59" s="1" t="s">
        <v>35</v>
      </c>
      <c r="F59" s="9" t="str">
        <f ca="1">IF(TODAY()-C59&gt;180,"انتهت صلاحية القرار","القرار صالح")</f>
        <v>القرار صالح</v>
      </c>
      <c r="G59" s="16">
        <f ca="1">MAX(0,180-(TODAY()-C59))</f>
        <v>62</v>
      </c>
    </row>
    <row r="60" spans="1:7" ht="15.75" customHeight="1" x14ac:dyDescent="0.25">
      <c r="A60" s="3" t="s">
        <v>78</v>
      </c>
      <c r="B60" s="21">
        <v>202537696285</v>
      </c>
      <c r="C60" s="25">
        <v>46001</v>
      </c>
      <c r="D60" s="3" t="s">
        <v>7</v>
      </c>
      <c r="E60" s="4">
        <v>45942</v>
      </c>
      <c r="F60" s="9" t="str">
        <f ca="1">IF(TODAY()-C60&gt;180,"انتهت صلاحية القرار","القرار صالح")</f>
        <v>القرار صالح</v>
      </c>
      <c r="G60" s="16">
        <f ca="1">MAX(0,180-(TODAY()-C60))</f>
        <v>63</v>
      </c>
    </row>
    <row r="61" spans="1:7" ht="15.75" customHeight="1" x14ac:dyDescent="0.25">
      <c r="A61" s="3" t="s">
        <v>79</v>
      </c>
      <c r="B61" s="21">
        <v>202537695056</v>
      </c>
      <c r="C61" s="25">
        <v>46001</v>
      </c>
      <c r="D61" s="3" t="s">
        <v>7</v>
      </c>
      <c r="E61" s="4">
        <v>45942</v>
      </c>
      <c r="F61" s="9" t="str">
        <f ca="1">IF(TODAY()-C61&gt;180,"انتهت صلاحية القرار","القرار صالح")</f>
        <v>القرار صالح</v>
      </c>
      <c r="G61" s="16">
        <f ca="1">MAX(0,180-(TODAY()-C61))</f>
        <v>63</v>
      </c>
    </row>
    <row r="62" spans="1:7" ht="15.75" customHeight="1" x14ac:dyDescent="0.25">
      <c r="A62" s="3" t="s">
        <v>80</v>
      </c>
      <c r="B62" s="21">
        <v>202537695118</v>
      </c>
      <c r="C62" s="25">
        <v>46001</v>
      </c>
      <c r="D62" s="3" t="s">
        <v>7</v>
      </c>
      <c r="E62" s="4">
        <v>45942</v>
      </c>
      <c r="F62" s="9" t="str">
        <f ca="1">IF(TODAY()-C62&gt;180,"انتهت صلاحية القرار","القرار صالح")</f>
        <v>القرار صالح</v>
      </c>
      <c r="G62" s="16">
        <f ca="1">MAX(0,180-(TODAY()-C62))</f>
        <v>63</v>
      </c>
    </row>
    <row r="63" spans="1:7" ht="15.75" customHeight="1" x14ac:dyDescent="0.25">
      <c r="A63" s="3" t="s">
        <v>81</v>
      </c>
      <c r="B63" s="21">
        <v>202537695051</v>
      </c>
      <c r="C63" s="25">
        <v>46001</v>
      </c>
      <c r="D63" s="3" t="s">
        <v>7</v>
      </c>
      <c r="E63" s="4">
        <v>45942</v>
      </c>
      <c r="F63" s="9" t="str">
        <f ca="1">IF(TODAY()-C63&gt;180,"انتهت صلاحية القرار","القرار صالح")</f>
        <v>القرار صالح</v>
      </c>
      <c r="G63" s="16">
        <f ca="1">MAX(0,180-(TODAY()-C63))</f>
        <v>63</v>
      </c>
    </row>
    <row r="64" spans="1:7" ht="15.75" customHeight="1" x14ac:dyDescent="0.25">
      <c r="A64" s="3" t="s">
        <v>82</v>
      </c>
      <c r="B64" s="21">
        <v>202537695050</v>
      </c>
      <c r="C64" s="25">
        <v>46001</v>
      </c>
      <c r="D64" s="3" t="s">
        <v>7</v>
      </c>
      <c r="E64" s="4">
        <v>45942</v>
      </c>
      <c r="F64" s="9" t="str">
        <f ca="1">IF(TODAY()-C64&gt;180,"انتهت صلاحية القرار","القرار صالح")</f>
        <v>القرار صالح</v>
      </c>
      <c r="G64" s="16">
        <f ca="1">MAX(0,180-(TODAY()-C64))</f>
        <v>63</v>
      </c>
    </row>
    <row r="65" spans="1:7" ht="15.75" customHeight="1" x14ac:dyDescent="0.25">
      <c r="A65" s="3" t="s">
        <v>83</v>
      </c>
      <c r="B65" s="21">
        <v>202537696286</v>
      </c>
      <c r="C65" s="25">
        <v>46001</v>
      </c>
      <c r="D65" s="3" t="s">
        <v>7</v>
      </c>
      <c r="E65" s="4">
        <v>45942</v>
      </c>
      <c r="F65" s="9" t="str">
        <f ca="1">IF(TODAY()-C65&gt;180,"انتهت صلاحية القرار","القرار صالح")</f>
        <v>القرار صالح</v>
      </c>
      <c r="G65" s="16">
        <f ca="1">MAX(0,180-(TODAY()-C65))</f>
        <v>63</v>
      </c>
    </row>
    <row r="66" spans="1:7" ht="15.75" customHeight="1" x14ac:dyDescent="0.25">
      <c r="A66" s="3" t="s">
        <v>84</v>
      </c>
      <c r="B66" s="21">
        <v>202537695117</v>
      </c>
      <c r="C66" s="25">
        <v>46001</v>
      </c>
      <c r="D66" s="3" t="s">
        <v>7</v>
      </c>
      <c r="E66" s="4">
        <v>45942</v>
      </c>
      <c r="F66" s="9" t="str">
        <f ca="1">IF(TODAY()-C66&gt;180,"انتهت صلاحية القرار","القرار صالح")</f>
        <v>القرار صالح</v>
      </c>
      <c r="G66" s="16">
        <f ca="1">MAX(0,180-(TODAY()-C66))</f>
        <v>63</v>
      </c>
    </row>
    <row r="67" spans="1:7" ht="15.75" customHeight="1" x14ac:dyDescent="0.25">
      <c r="A67" s="3" t="s">
        <v>85</v>
      </c>
      <c r="B67" s="21">
        <v>202537695116</v>
      </c>
      <c r="C67" s="25">
        <v>46001</v>
      </c>
      <c r="D67" s="3" t="s">
        <v>7</v>
      </c>
      <c r="E67" s="1" t="s">
        <v>35</v>
      </c>
      <c r="F67" s="9" t="str">
        <f ca="1">IF(TODAY()-C67&gt;180,"انتهت صلاحية القرار","القرار صالح")</f>
        <v>القرار صالح</v>
      </c>
      <c r="G67" s="16">
        <f ca="1">MAX(0,180-(TODAY()-C67))</f>
        <v>63</v>
      </c>
    </row>
    <row r="68" spans="1:7" ht="15.75" customHeight="1" x14ac:dyDescent="0.25">
      <c r="A68" s="3" t="s">
        <v>86</v>
      </c>
      <c r="B68" s="21">
        <v>202537695057</v>
      </c>
      <c r="C68" s="25">
        <v>46001</v>
      </c>
      <c r="D68" s="3" t="s">
        <v>7</v>
      </c>
      <c r="E68" s="1" t="s">
        <v>35</v>
      </c>
      <c r="F68" s="9" t="str">
        <f ca="1">IF(TODAY()-C68&gt;180,"انتهت صلاحية القرار","القرار صالح")</f>
        <v>القرار صالح</v>
      </c>
      <c r="G68" s="16">
        <f ca="1">MAX(0,180-(TODAY()-C68))</f>
        <v>63</v>
      </c>
    </row>
    <row r="69" spans="1:7" ht="15.75" customHeight="1" x14ac:dyDescent="0.25">
      <c r="A69" s="3" t="s">
        <v>87</v>
      </c>
      <c r="B69" s="21">
        <v>202537695045</v>
      </c>
      <c r="C69" s="25">
        <v>46001</v>
      </c>
      <c r="D69" s="3" t="s">
        <v>7</v>
      </c>
      <c r="E69" s="1" t="s">
        <v>35</v>
      </c>
      <c r="F69" s="9" t="str">
        <f ca="1">IF(TODAY()-C69&gt;180,"انتهت صلاحية القرار","القرار صالح")</f>
        <v>القرار صالح</v>
      </c>
      <c r="G69" s="16">
        <f ca="1">MAX(0,180-(TODAY()-C69))</f>
        <v>63</v>
      </c>
    </row>
    <row r="70" spans="1:7" ht="15.75" customHeight="1" x14ac:dyDescent="0.25">
      <c r="A70" s="3" t="s">
        <v>88</v>
      </c>
      <c r="B70" s="21">
        <v>202537695068</v>
      </c>
      <c r="C70" s="25">
        <v>46001</v>
      </c>
      <c r="D70" s="3" t="s">
        <v>7</v>
      </c>
      <c r="E70" s="1" t="s">
        <v>89</v>
      </c>
      <c r="F70" s="9" t="str">
        <f ca="1">IF(TODAY()-C70&gt;180,"انتهت صلاحية القرار","القرار صالح")</f>
        <v>القرار صالح</v>
      </c>
      <c r="G70" s="16">
        <f ca="1">MAX(0,180-(TODAY()-C70))</f>
        <v>63</v>
      </c>
    </row>
    <row r="71" spans="1:7" ht="15.75" customHeight="1" x14ac:dyDescent="0.25">
      <c r="A71" s="3" t="s">
        <v>90</v>
      </c>
      <c r="B71" s="21">
        <v>202537695070</v>
      </c>
      <c r="C71" s="25">
        <v>46001</v>
      </c>
      <c r="D71" s="3" t="s">
        <v>7</v>
      </c>
      <c r="E71" s="1" t="s">
        <v>89</v>
      </c>
      <c r="F71" s="9" t="str">
        <f ca="1">IF(TODAY()-C71&gt;180,"انتهت صلاحية القرار","القرار صالح")</f>
        <v>القرار صالح</v>
      </c>
      <c r="G71" s="16">
        <f ca="1">MAX(0,180-(TODAY()-C71))</f>
        <v>63</v>
      </c>
    </row>
    <row r="72" spans="1:7" ht="15.75" customHeight="1" x14ac:dyDescent="0.25">
      <c r="A72" s="3" t="s">
        <v>91</v>
      </c>
      <c r="B72" s="21">
        <v>202537695136</v>
      </c>
      <c r="C72" s="25">
        <v>46001</v>
      </c>
      <c r="D72" s="3" t="s">
        <v>7</v>
      </c>
      <c r="E72" s="1" t="s">
        <v>89</v>
      </c>
      <c r="F72" s="9" t="str">
        <f ca="1">IF(TODAY()-C72&gt;180,"انتهت صلاحية القرار","القرار صالح")</f>
        <v>القرار صالح</v>
      </c>
      <c r="G72" s="16">
        <f ca="1">MAX(0,180-(TODAY()-C72))</f>
        <v>63</v>
      </c>
    </row>
    <row r="73" spans="1:7" ht="15.75" customHeight="1" x14ac:dyDescent="0.25">
      <c r="A73" s="3" t="s">
        <v>92</v>
      </c>
      <c r="B73" s="21">
        <v>202537756057</v>
      </c>
      <c r="C73" s="25">
        <v>46006</v>
      </c>
      <c r="D73" s="3" t="s">
        <v>7</v>
      </c>
      <c r="E73" s="4">
        <v>46113</v>
      </c>
      <c r="F73" s="9" t="str">
        <f ca="1">IF(TODAY()-C73&gt;180,"انتهت صلاحية القرار","القرار صالح")</f>
        <v>القرار صالح</v>
      </c>
      <c r="G73" s="16">
        <f ca="1">MAX(0,180-(TODAY()-C73))</f>
        <v>68</v>
      </c>
    </row>
    <row r="74" spans="1:7" ht="15.75" customHeight="1" x14ac:dyDescent="0.25">
      <c r="A74" s="3" t="s">
        <v>93</v>
      </c>
      <c r="B74" s="21">
        <v>202537756413</v>
      </c>
      <c r="C74" s="25">
        <v>46006</v>
      </c>
      <c r="D74" s="3" t="s">
        <v>7</v>
      </c>
      <c r="E74" s="1" t="s">
        <v>94</v>
      </c>
      <c r="F74" s="9" t="str">
        <f ca="1">IF(TODAY()-C74&gt;180,"انتهت صلاحية القرار","القرار صالح")</f>
        <v>القرار صالح</v>
      </c>
      <c r="G74" s="16">
        <f ca="1">MAX(0,180-(TODAY()-C74))</f>
        <v>68</v>
      </c>
    </row>
    <row r="75" spans="1:7" ht="15.75" customHeight="1" x14ac:dyDescent="0.25">
      <c r="A75" s="3" t="s">
        <v>95</v>
      </c>
      <c r="B75" s="21">
        <v>202537756390</v>
      </c>
      <c r="C75" s="25">
        <v>46006</v>
      </c>
      <c r="D75" s="3" t="s">
        <v>7</v>
      </c>
      <c r="E75" s="1" t="s">
        <v>94</v>
      </c>
      <c r="F75" s="9" t="str">
        <f ca="1">IF(TODAY()-C75&gt;180,"انتهت صلاحية القرار","القرار صالح")</f>
        <v>القرار صالح</v>
      </c>
      <c r="G75" s="16">
        <f ca="1">MAX(0,180-(TODAY()-C75))</f>
        <v>68</v>
      </c>
    </row>
    <row r="76" spans="1:7" ht="15.75" customHeight="1" x14ac:dyDescent="0.25">
      <c r="A76" s="3" t="s">
        <v>96</v>
      </c>
      <c r="B76" s="21">
        <v>202537755980</v>
      </c>
      <c r="C76" s="25">
        <v>46006</v>
      </c>
      <c r="D76" s="3" t="s">
        <v>7</v>
      </c>
      <c r="E76" s="1" t="s">
        <v>94</v>
      </c>
      <c r="F76" s="9" t="str">
        <f ca="1">IF(TODAY()-C76&gt;180,"انتهت صلاحية القرار","القرار صالح")</f>
        <v>القرار صالح</v>
      </c>
      <c r="G76" s="16">
        <f ca="1">MAX(0,180-(TODAY()-C76))</f>
        <v>68</v>
      </c>
    </row>
    <row r="77" spans="1:7" ht="15.75" customHeight="1" x14ac:dyDescent="0.25">
      <c r="A77" s="3" t="s">
        <v>97</v>
      </c>
      <c r="B77" s="21">
        <v>202537756419</v>
      </c>
      <c r="C77" s="25">
        <v>46006</v>
      </c>
      <c r="D77" s="3" t="s">
        <v>7</v>
      </c>
      <c r="E77" s="1" t="s">
        <v>12</v>
      </c>
      <c r="F77" s="9" t="str">
        <f ca="1">IF(TODAY()-C77&gt;180,"انتهت صلاحية القرار","القرار صالح")</f>
        <v>القرار صالح</v>
      </c>
      <c r="G77" s="16">
        <f ca="1">MAX(0,180-(TODAY()-C77))</f>
        <v>68</v>
      </c>
    </row>
    <row r="78" spans="1:7" ht="15.75" customHeight="1" x14ac:dyDescent="0.25">
      <c r="A78" s="3" t="s">
        <v>98</v>
      </c>
      <c r="B78" s="21">
        <v>202537756393</v>
      </c>
      <c r="C78" s="25">
        <v>46006</v>
      </c>
      <c r="D78" s="3" t="s">
        <v>7</v>
      </c>
      <c r="E78" s="1" t="s">
        <v>89</v>
      </c>
      <c r="F78" s="9" t="str">
        <f ca="1">IF(TODAY()-C78&gt;180,"انتهت صلاحية القرار","القرار صالح")</f>
        <v>القرار صالح</v>
      </c>
      <c r="G78" s="16">
        <f ca="1">MAX(0,180-(TODAY()-C78))</f>
        <v>68</v>
      </c>
    </row>
    <row r="79" spans="1:7" ht="15.75" customHeight="1" x14ac:dyDescent="0.25">
      <c r="A79" s="3" t="s">
        <v>99</v>
      </c>
      <c r="B79" s="21">
        <v>202537755975</v>
      </c>
      <c r="C79" s="25">
        <v>46006</v>
      </c>
      <c r="D79" s="3" t="s">
        <v>7</v>
      </c>
      <c r="E79" s="4">
        <v>46146</v>
      </c>
      <c r="F79" s="9" t="str">
        <f ca="1">IF(TODAY()-C79&gt;180,"انتهت صلاحية القرار","القرار صالح")</f>
        <v>القرار صالح</v>
      </c>
      <c r="G79" s="16">
        <f ca="1">MAX(0,180-(TODAY()-C79))</f>
        <v>68</v>
      </c>
    </row>
    <row r="80" spans="1:7" ht="15.75" customHeight="1" x14ac:dyDescent="0.25">
      <c r="A80" s="3" t="s">
        <v>100</v>
      </c>
      <c r="B80" s="21">
        <v>202537783515</v>
      </c>
      <c r="C80" s="25">
        <v>46008</v>
      </c>
      <c r="D80" s="3" t="s">
        <v>7</v>
      </c>
      <c r="E80" s="1" t="s">
        <v>68</v>
      </c>
      <c r="F80" s="9" t="str">
        <f ca="1">IF(TODAY()-C80&gt;180,"انتهت صلاحية القرار","القرار صالح")</f>
        <v>القرار صالح</v>
      </c>
      <c r="G80" s="16">
        <f ca="1">MAX(0,180-(TODAY()-C80))</f>
        <v>70</v>
      </c>
    </row>
    <row r="81" spans="1:7" ht="15.75" customHeight="1" x14ac:dyDescent="0.25">
      <c r="A81" s="3" t="s">
        <v>101</v>
      </c>
      <c r="B81" s="21">
        <v>202537791242</v>
      </c>
      <c r="C81" s="25">
        <v>46009</v>
      </c>
      <c r="D81" s="3" t="s">
        <v>7</v>
      </c>
      <c r="E81" s="1" t="s">
        <v>89</v>
      </c>
      <c r="F81" s="9" t="str">
        <f ca="1">IF(TODAY()-C81&gt;180,"انتهت صلاحية القرار","القرار صالح")</f>
        <v>القرار صالح</v>
      </c>
      <c r="G81" s="16">
        <f ca="1">MAX(0,180-(TODAY()-C81))</f>
        <v>71</v>
      </c>
    </row>
    <row r="82" spans="1:7" ht="15.75" customHeight="1" x14ac:dyDescent="0.25">
      <c r="A82" s="3" t="s">
        <v>102</v>
      </c>
      <c r="B82" s="21">
        <v>202537791257</v>
      </c>
      <c r="C82" s="25">
        <v>46009</v>
      </c>
      <c r="D82" s="3" t="s">
        <v>7</v>
      </c>
      <c r="E82" s="1" t="s">
        <v>68</v>
      </c>
      <c r="F82" s="9" t="str">
        <f ca="1">IF(TODAY()-C82&gt;180,"انتهت صلاحية القرار","القرار صالح")</f>
        <v>القرار صالح</v>
      </c>
      <c r="G82" s="16">
        <f ca="1">MAX(0,180-(TODAY()-C82))</f>
        <v>71</v>
      </c>
    </row>
    <row r="83" spans="1:7" ht="15.75" customHeight="1" x14ac:dyDescent="0.25">
      <c r="A83" s="3" t="s">
        <v>103</v>
      </c>
      <c r="B83" s="21">
        <v>202537832818</v>
      </c>
      <c r="C83" s="25">
        <v>46012</v>
      </c>
      <c r="D83" s="3" t="s">
        <v>7</v>
      </c>
      <c r="E83" s="4">
        <v>46327</v>
      </c>
      <c r="F83" s="9" t="str">
        <f ca="1">IF(TODAY()-C83&gt;180,"انتهت صلاحية القرار","القرار صالح")</f>
        <v>القرار صالح</v>
      </c>
      <c r="G83" s="16">
        <f ca="1">MAX(0,180-(TODAY()-C83))</f>
        <v>74</v>
      </c>
    </row>
    <row r="84" spans="1:7" ht="15.75" customHeight="1" x14ac:dyDescent="0.25">
      <c r="A84" s="3" t="s">
        <v>104</v>
      </c>
      <c r="B84" s="21">
        <v>202537840939</v>
      </c>
      <c r="C84" s="25">
        <v>46012</v>
      </c>
      <c r="D84" s="3" t="s">
        <v>7</v>
      </c>
      <c r="E84" s="1" t="s">
        <v>68</v>
      </c>
      <c r="F84" s="9" t="str">
        <f ca="1">IF(TODAY()-C84&gt;180,"انتهت صلاحية القرار","القرار صالح")</f>
        <v>القرار صالح</v>
      </c>
      <c r="G84" s="16">
        <f ca="1">MAX(0,180-(TODAY()-C84))</f>
        <v>74</v>
      </c>
    </row>
    <row r="85" spans="1:7" ht="15.75" customHeight="1" x14ac:dyDescent="0.25">
      <c r="A85" s="3" t="s">
        <v>105</v>
      </c>
      <c r="B85" s="21">
        <v>202537837531</v>
      </c>
      <c r="C85" s="25">
        <v>46012</v>
      </c>
      <c r="D85" s="3" t="s">
        <v>7</v>
      </c>
      <c r="E85" s="1" t="s">
        <v>68</v>
      </c>
      <c r="F85" s="9" t="str">
        <f ca="1">IF(TODAY()-C85&gt;180,"انتهت صلاحية القرار","القرار صالح")</f>
        <v>القرار صالح</v>
      </c>
      <c r="G85" s="16">
        <f ca="1">MAX(0,180-(TODAY()-C85))</f>
        <v>74</v>
      </c>
    </row>
    <row r="86" spans="1:7" ht="15.75" customHeight="1" x14ac:dyDescent="0.25">
      <c r="A86" s="3" t="s">
        <v>106</v>
      </c>
      <c r="B86" s="21">
        <v>202537840906</v>
      </c>
      <c r="C86" s="25">
        <v>46012</v>
      </c>
      <c r="D86" s="3" t="s">
        <v>7</v>
      </c>
      <c r="E86" s="1" t="s">
        <v>68</v>
      </c>
      <c r="F86" s="9" t="str">
        <f ca="1">IF(TODAY()-C86&gt;180,"انتهت صلاحية القرار","القرار صالح")</f>
        <v>القرار صالح</v>
      </c>
      <c r="G86" s="16">
        <f ca="1">MAX(0,180-(TODAY()-C86))</f>
        <v>74</v>
      </c>
    </row>
    <row r="87" spans="1:7" ht="15.75" customHeight="1" x14ac:dyDescent="0.25">
      <c r="A87" s="3" t="s">
        <v>107</v>
      </c>
      <c r="B87" s="21">
        <v>202537840942</v>
      </c>
      <c r="C87" s="25">
        <v>46012</v>
      </c>
      <c r="D87" s="3" t="s">
        <v>7</v>
      </c>
      <c r="E87" s="1" t="s">
        <v>70</v>
      </c>
      <c r="F87" s="9" t="str">
        <f ca="1">IF(TODAY()-C87&gt;180,"انتهت صلاحية القرار","القرار صالح")</f>
        <v>القرار صالح</v>
      </c>
      <c r="G87" s="16">
        <f ca="1">MAX(0,180-(TODAY()-C87))</f>
        <v>74</v>
      </c>
    </row>
    <row r="88" spans="1:7" ht="15.75" customHeight="1" x14ac:dyDescent="0.25">
      <c r="A88" s="3" t="s">
        <v>108</v>
      </c>
      <c r="B88" s="21">
        <v>202537837513</v>
      </c>
      <c r="C88" s="25">
        <v>46012</v>
      </c>
      <c r="D88" s="3" t="s">
        <v>7</v>
      </c>
      <c r="E88" s="1" t="s">
        <v>70</v>
      </c>
      <c r="F88" s="9" t="str">
        <f ca="1">IF(TODAY()-C88&gt;180,"انتهت صلاحية القرار","القرار صالح")</f>
        <v>القرار صالح</v>
      </c>
      <c r="G88" s="16">
        <f ca="1">MAX(0,180-(TODAY()-C88))</f>
        <v>74</v>
      </c>
    </row>
    <row r="89" spans="1:7" ht="15.75" customHeight="1" x14ac:dyDescent="0.25">
      <c r="A89" s="3" t="s">
        <v>109</v>
      </c>
      <c r="B89" s="21">
        <v>202537838525</v>
      </c>
      <c r="C89" s="25">
        <v>46012</v>
      </c>
      <c r="D89" s="3" t="s">
        <v>7</v>
      </c>
      <c r="E89" s="1" t="s">
        <v>70</v>
      </c>
      <c r="F89" s="9" t="str">
        <f ca="1">IF(TODAY()-C89&gt;180,"انتهت صلاحية القرار","القرار صالح")</f>
        <v>القرار صالح</v>
      </c>
      <c r="G89" s="16">
        <f ca="1">MAX(0,180-(TODAY()-C89))</f>
        <v>74</v>
      </c>
    </row>
    <row r="90" spans="1:7" ht="15.75" customHeight="1" x14ac:dyDescent="0.25">
      <c r="A90" s="3" t="s">
        <v>110</v>
      </c>
      <c r="B90" s="21">
        <v>202537846315</v>
      </c>
      <c r="C90" s="25">
        <v>46013</v>
      </c>
      <c r="D90" s="3" t="s">
        <v>7</v>
      </c>
      <c r="E90" s="6">
        <v>46113</v>
      </c>
      <c r="F90" s="9" t="str">
        <f ca="1">IF(TODAY()-C90&gt;180,"انتهت صلاحية القرار","القرار صالح")</f>
        <v>القرار صالح</v>
      </c>
      <c r="G90" s="16">
        <f ca="1">MAX(0,180-(TODAY()-C90))</f>
        <v>75</v>
      </c>
    </row>
    <row r="91" spans="1:7" ht="15.75" customHeight="1" x14ac:dyDescent="0.25">
      <c r="A91" s="3" t="s">
        <v>111</v>
      </c>
      <c r="B91" s="21">
        <v>202537845950</v>
      </c>
      <c r="C91" s="25">
        <v>46013</v>
      </c>
      <c r="D91" s="3" t="s">
        <v>7</v>
      </c>
      <c r="E91" s="4">
        <v>46114</v>
      </c>
      <c r="F91" s="9" t="str">
        <f ca="1">IF(TODAY()-C91&gt;180,"انتهت صلاحية القرار","القرار صالح")</f>
        <v>القرار صالح</v>
      </c>
      <c r="G91" s="16">
        <f ca="1">MAX(0,180-(TODAY()-C91))</f>
        <v>75</v>
      </c>
    </row>
    <row r="92" spans="1:7" ht="15.75" customHeight="1" x14ac:dyDescent="0.25">
      <c r="A92" s="3" t="s">
        <v>112</v>
      </c>
      <c r="B92" s="21">
        <v>202537846201</v>
      </c>
      <c r="C92" s="25">
        <v>46013</v>
      </c>
      <c r="D92" s="3" t="s">
        <v>7</v>
      </c>
      <c r="E92" s="1" t="s">
        <v>113</v>
      </c>
      <c r="F92" s="9" t="str">
        <f ca="1">IF(TODAY()-C92&gt;180,"انتهت صلاحية القرار","القرار صالح")</f>
        <v>القرار صالح</v>
      </c>
      <c r="G92" s="16">
        <f ca="1">MAX(0,180-(TODAY()-C92))</f>
        <v>75</v>
      </c>
    </row>
    <row r="93" spans="1:7" ht="15.75" customHeight="1" x14ac:dyDescent="0.25">
      <c r="A93" s="3" t="s">
        <v>114</v>
      </c>
      <c r="B93" s="21">
        <v>202537846322</v>
      </c>
      <c r="C93" s="25">
        <v>46013</v>
      </c>
      <c r="D93" s="3" t="s">
        <v>7</v>
      </c>
      <c r="E93" s="1" t="s">
        <v>68</v>
      </c>
      <c r="F93" s="9" t="str">
        <f ca="1">IF(TODAY()-C93&gt;180,"انتهت صلاحية القرار","القرار صالح")</f>
        <v>القرار صالح</v>
      </c>
      <c r="G93" s="16">
        <f ca="1">MAX(0,180-(TODAY()-C93))</f>
        <v>75</v>
      </c>
    </row>
    <row r="94" spans="1:7" ht="15.75" customHeight="1" x14ac:dyDescent="0.25">
      <c r="A94" s="3" t="s">
        <v>115</v>
      </c>
      <c r="B94" s="21">
        <v>202537846060</v>
      </c>
      <c r="C94" s="25">
        <v>46013</v>
      </c>
      <c r="D94" s="3" t="s">
        <v>7</v>
      </c>
      <c r="E94" s="1" t="s">
        <v>68</v>
      </c>
      <c r="F94" s="9" t="str">
        <f ca="1">IF(TODAY()-C94&gt;180,"انتهت صلاحية القرار","القرار صالح")</f>
        <v>القرار صالح</v>
      </c>
      <c r="G94" s="16">
        <f ca="1">MAX(0,180-(TODAY()-C94))</f>
        <v>75</v>
      </c>
    </row>
    <row r="95" spans="1:7" ht="15.75" customHeight="1" x14ac:dyDescent="0.25">
      <c r="A95" s="3" t="s">
        <v>116</v>
      </c>
      <c r="B95" s="21">
        <v>202537868176</v>
      </c>
      <c r="C95" s="25">
        <v>46014</v>
      </c>
      <c r="D95" s="3" t="s">
        <v>7</v>
      </c>
      <c r="E95" s="1" t="s">
        <v>117</v>
      </c>
      <c r="F95" s="9" t="str">
        <f ca="1">IF(TODAY()-C95&gt;180,"انتهت صلاحية القرار","القرار صالح")</f>
        <v>القرار صالح</v>
      </c>
      <c r="G95" s="16">
        <f ca="1">MAX(0,180-(TODAY()-C95))</f>
        <v>76</v>
      </c>
    </row>
    <row r="96" spans="1:7" ht="15.75" customHeight="1" x14ac:dyDescent="0.25">
      <c r="A96" s="3" t="s">
        <v>118</v>
      </c>
      <c r="B96" s="21">
        <v>202537868161</v>
      </c>
      <c r="C96" s="25">
        <v>46014</v>
      </c>
      <c r="D96" s="3" t="s">
        <v>7</v>
      </c>
      <c r="E96" s="1" t="s">
        <v>70</v>
      </c>
      <c r="F96" s="9" t="str">
        <f ca="1">IF(TODAY()-C96&gt;180,"انتهت صلاحية القرار","القرار صالح")</f>
        <v>القرار صالح</v>
      </c>
      <c r="G96" s="16">
        <f ca="1">MAX(0,180-(TODAY()-C96))</f>
        <v>76</v>
      </c>
    </row>
    <row r="97" spans="1:7" ht="15.75" customHeight="1" x14ac:dyDescent="0.25">
      <c r="A97" s="3" t="s">
        <v>119</v>
      </c>
      <c r="B97" s="21">
        <v>202537868219</v>
      </c>
      <c r="C97" s="25">
        <v>46014</v>
      </c>
      <c r="D97" s="3" t="s">
        <v>7</v>
      </c>
      <c r="E97" s="1" t="s">
        <v>70</v>
      </c>
      <c r="F97" s="9" t="str">
        <f ca="1">IF(TODAY()-C97&gt;180,"انتهت صلاحية القرار","القرار صالح")</f>
        <v>القرار صالح</v>
      </c>
      <c r="G97" s="16">
        <f ca="1">MAX(0,180-(TODAY()-C97))</f>
        <v>76</v>
      </c>
    </row>
    <row r="98" spans="1:7" ht="15.75" customHeight="1" x14ac:dyDescent="0.25">
      <c r="A98" s="3" t="s">
        <v>120</v>
      </c>
      <c r="B98" s="21">
        <v>202537876228</v>
      </c>
      <c r="C98" s="25">
        <v>46015</v>
      </c>
      <c r="D98" s="3" t="s">
        <v>7</v>
      </c>
      <c r="E98" s="1" t="s">
        <v>68</v>
      </c>
      <c r="F98" s="9" t="str">
        <f ca="1">IF(TODAY()-C98&gt;180,"انتهت صلاحية القرار","القرار صالح")</f>
        <v>القرار صالح</v>
      </c>
      <c r="G98" s="16">
        <f ca="1">MAX(0,180-(TODAY()-C98))</f>
        <v>77</v>
      </c>
    </row>
    <row r="99" spans="1:7" ht="15.75" customHeight="1" x14ac:dyDescent="0.25">
      <c r="A99" s="3" t="s">
        <v>121</v>
      </c>
      <c r="B99" s="21">
        <v>202537876239</v>
      </c>
      <c r="C99" s="25">
        <v>46015</v>
      </c>
      <c r="D99" s="3" t="s">
        <v>7</v>
      </c>
      <c r="E99" s="1" t="s">
        <v>68</v>
      </c>
      <c r="F99" s="9" t="str">
        <f ca="1">IF(TODAY()-C99&gt;180,"انتهت صلاحية القرار","القرار صالح")</f>
        <v>القرار صالح</v>
      </c>
      <c r="G99" s="16">
        <f ca="1">MAX(0,180-(TODAY()-C99))</f>
        <v>77</v>
      </c>
    </row>
    <row r="100" spans="1:7" ht="15.75" customHeight="1" x14ac:dyDescent="0.25">
      <c r="A100" s="3" t="s">
        <v>122</v>
      </c>
      <c r="B100" s="21">
        <v>202537978186</v>
      </c>
      <c r="C100" s="25">
        <v>46022</v>
      </c>
      <c r="D100" s="3" t="s">
        <v>7</v>
      </c>
      <c r="E100" s="6">
        <v>46113</v>
      </c>
      <c r="F100" s="9" t="str">
        <f ca="1">IF(TODAY()-C100&gt;180,"انتهت صلاحية القرار","القرار صالح")</f>
        <v>القرار صالح</v>
      </c>
      <c r="G100" s="16">
        <f ca="1">MAX(0,180-(TODAY()-C100))</f>
        <v>84</v>
      </c>
    </row>
    <row r="101" spans="1:7" ht="15.75" customHeight="1" x14ac:dyDescent="0.25">
      <c r="A101" s="5" t="s">
        <v>123</v>
      </c>
      <c r="B101" s="22">
        <v>202537978197</v>
      </c>
      <c r="C101" s="26">
        <v>46022</v>
      </c>
      <c r="D101" s="3" t="s">
        <v>7</v>
      </c>
      <c r="E101" s="6">
        <v>46113</v>
      </c>
      <c r="F101" s="9" t="str">
        <f ca="1">IF(TODAY()-C101&gt;180,"انتهت صلاحية القرار","القرار صالح")</f>
        <v>القرار صالح</v>
      </c>
      <c r="G101" s="16">
        <f ca="1">MAX(0,180-(TODAY()-C101))</f>
        <v>84</v>
      </c>
    </row>
    <row r="102" spans="1:7" ht="15.75" customHeight="1" x14ac:dyDescent="0.25">
      <c r="A102" s="1" t="s">
        <v>124</v>
      </c>
      <c r="B102" s="21">
        <v>202637982573</v>
      </c>
      <c r="C102" s="25">
        <v>46023</v>
      </c>
      <c r="D102" s="3" t="s">
        <v>7</v>
      </c>
      <c r="E102" s="4">
        <v>46113</v>
      </c>
      <c r="F102" s="9" t="str">
        <f ca="1">IF(TODAY()-C102&gt;180,"انتهت صلاحية القرار","القرار صالح")</f>
        <v>القرار صالح</v>
      </c>
      <c r="G102" s="16">
        <f ca="1">MAX(0,180-(TODAY()-C102))</f>
        <v>85</v>
      </c>
    </row>
    <row r="103" spans="1:7" ht="15.75" customHeight="1" x14ac:dyDescent="0.25">
      <c r="A103" s="1" t="s">
        <v>125</v>
      </c>
      <c r="B103" s="21">
        <v>202638039836</v>
      </c>
      <c r="C103" s="25">
        <v>46027</v>
      </c>
      <c r="D103" s="3" t="s">
        <v>7</v>
      </c>
      <c r="E103" s="4">
        <v>46024</v>
      </c>
      <c r="F103" s="9" t="str">
        <f ca="1">IF(TODAY()-C103&gt;180,"انتهت صلاحية القرار","القرار صالح")</f>
        <v>القرار صالح</v>
      </c>
      <c r="G103" s="16">
        <f ca="1">MAX(0,180-(TODAY()-C103))</f>
        <v>89</v>
      </c>
    </row>
    <row r="104" spans="1:7" ht="15.75" customHeight="1" x14ac:dyDescent="0.25">
      <c r="A104" s="1" t="s">
        <v>126</v>
      </c>
      <c r="B104" s="21">
        <v>202638039809</v>
      </c>
      <c r="C104" s="25">
        <v>46027</v>
      </c>
      <c r="D104" s="3" t="s">
        <v>7</v>
      </c>
      <c r="E104" s="4">
        <v>46327</v>
      </c>
      <c r="F104" s="9" t="str">
        <f ca="1">IF(TODAY()-C104&gt;180,"انتهت صلاحية القرار","القرار صالح")</f>
        <v>القرار صالح</v>
      </c>
      <c r="G104" s="16">
        <f ca="1">MAX(0,180-(TODAY()-C104))</f>
        <v>89</v>
      </c>
    </row>
    <row r="105" spans="1:7" ht="15.75" customHeight="1" x14ac:dyDescent="0.25">
      <c r="A105" s="1" t="s">
        <v>127</v>
      </c>
      <c r="B105" s="21">
        <v>202638039907</v>
      </c>
      <c r="C105" s="25">
        <v>46027</v>
      </c>
      <c r="D105" s="3" t="s">
        <v>7</v>
      </c>
      <c r="E105" s="4">
        <v>46327</v>
      </c>
      <c r="F105" s="9" t="str">
        <f ca="1">IF(TODAY()-C105&gt;180,"انتهت صلاحية القرار","القرار صالح")</f>
        <v>القرار صالح</v>
      </c>
      <c r="G105" s="16">
        <f ca="1">MAX(0,180-(TODAY()-C105))</f>
        <v>89</v>
      </c>
    </row>
    <row r="106" spans="1:7" ht="15.75" customHeight="1" x14ac:dyDescent="0.25">
      <c r="A106" s="1" t="s">
        <v>128</v>
      </c>
      <c r="B106" s="21">
        <v>202638040144</v>
      </c>
      <c r="C106" s="25">
        <v>46027</v>
      </c>
      <c r="D106" s="3" t="s">
        <v>7</v>
      </c>
      <c r="E106" s="4">
        <v>46327</v>
      </c>
      <c r="F106" s="9" t="str">
        <f ca="1">IF(TODAY()-C106&gt;180,"انتهت صلاحية القرار","القرار صالح")</f>
        <v>القرار صالح</v>
      </c>
      <c r="G106" s="16">
        <f ca="1">MAX(0,180-(TODAY()-C106))</f>
        <v>89</v>
      </c>
    </row>
    <row r="107" spans="1:7" ht="15.75" customHeight="1" x14ac:dyDescent="0.25">
      <c r="A107" s="1" t="s">
        <v>129</v>
      </c>
      <c r="B107" s="21">
        <v>202638039965</v>
      </c>
      <c r="C107" s="25">
        <v>46027</v>
      </c>
      <c r="D107" s="3" t="s">
        <v>7</v>
      </c>
      <c r="E107" s="4">
        <v>46327</v>
      </c>
      <c r="F107" s="9" t="str">
        <f ca="1">IF(TODAY()-C107&gt;180,"انتهت صلاحية القرار","القرار صالح")</f>
        <v>القرار صالح</v>
      </c>
      <c r="G107" s="16">
        <f ca="1">MAX(0,180-(TODAY()-C107))</f>
        <v>89</v>
      </c>
    </row>
    <row r="108" spans="1:7" ht="15.75" customHeight="1" x14ac:dyDescent="0.25">
      <c r="A108" s="1" t="s">
        <v>130</v>
      </c>
      <c r="B108" s="21">
        <v>202638039926</v>
      </c>
      <c r="C108" s="25">
        <v>46027</v>
      </c>
      <c r="D108" s="3" t="s">
        <v>7</v>
      </c>
      <c r="E108" s="1" t="s">
        <v>131</v>
      </c>
      <c r="F108" s="9" t="str">
        <f ca="1">IF(TODAY()-C108&gt;180,"انتهت صلاحية القرار","القرار صالح")</f>
        <v>القرار صالح</v>
      </c>
      <c r="G108" s="16">
        <f ca="1">MAX(0,180-(TODAY()-C108))</f>
        <v>89</v>
      </c>
    </row>
    <row r="109" spans="1:7" ht="15.75" customHeight="1" x14ac:dyDescent="0.25">
      <c r="A109" s="1" t="s">
        <v>132</v>
      </c>
      <c r="B109" s="21">
        <v>202638039778</v>
      </c>
      <c r="C109" s="25">
        <v>46027</v>
      </c>
      <c r="D109" s="3" t="s">
        <v>7</v>
      </c>
      <c r="E109" s="1" t="s">
        <v>12</v>
      </c>
      <c r="F109" s="9" t="str">
        <f ca="1">IF(TODAY()-C109&gt;180,"انتهت صلاحية القرار","القرار صالح")</f>
        <v>القرار صالح</v>
      </c>
      <c r="G109" s="16">
        <f ca="1">MAX(0,180-(TODAY()-C109))</f>
        <v>89</v>
      </c>
    </row>
    <row r="110" spans="1:7" ht="15.75" customHeight="1" x14ac:dyDescent="0.25">
      <c r="A110" s="1" t="s">
        <v>133</v>
      </c>
      <c r="B110" s="21">
        <v>202638039869</v>
      </c>
      <c r="C110" s="25">
        <v>46027</v>
      </c>
      <c r="D110" s="3" t="s">
        <v>7</v>
      </c>
      <c r="E110" s="1" t="s">
        <v>12</v>
      </c>
      <c r="F110" s="9" t="str">
        <f ca="1">IF(TODAY()-C110&gt;180,"انتهت صلاحية القرار","القرار صالح")</f>
        <v>القرار صالح</v>
      </c>
      <c r="G110" s="16">
        <f ca="1">MAX(0,180-(TODAY()-C110))</f>
        <v>89</v>
      </c>
    </row>
    <row r="111" spans="1:7" ht="15.75" customHeight="1" x14ac:dyDescent="0.25">
      <c r="A111" s="1" t="s">
        <v>134</v>
      </c>
      <c r="B111" s="21">
        <v>202638039995</v>
      </c>
      <c r="C111" s="25">
        <v>46027</v>
      </c>
      <c r="D111" s="3" t="s">
        <v>7</v>
      </c>
      <c r="E111" s="1" t="s">
        <v>12</v>
      </c>
      <c r="F111" s="9" t="str">
        <f ca="1">IF(TODAY()-C111&gt;180,"انتهت صلاحية القرار","القرار صالح")</f>
        <v>القرار صالح</v>
      </c>
      <c r="G111" s="16">
        <f ca="1">MAX(0,180-(TODAY()-C111))</f>
        <v>89</v>
      </c>
    </row>
    <row r="112" spans="1:7" ht="15.75" customHeight="1" x14ac:dyDescent="0.25">
      <c r="A112" s="1" t="s">
        <v>135</v>
      </c>
      <c r="B112" s="21">
        <v>202638039759</v>
      </c>
      <c r="C112" s="25">
        <v>46027</v>
      </c>
      <c r="D112" s="3" t="s">
        <v>7</v>
      </c>
      <c r="E112" s="1" t="s">
        <v>136</v>
      </c>
      <c r="F112" s="9" t="str">
        <f ca="1">IF(TODAY()-C112&gt;180,"انتهت صلاحية القرار","القرار صالح")</f>
        <v>القرار صالح</v>
      </c>
      <c r="G112" s="16">
        <f ca="1">MAX(0,180-(TODAY()-C112))</f>
        <v>89</v>
      </c>
    </row>
    <row r="113" spans="1:7" ht="15.75" customHeight="1" x14ac:dyDescent="0.25">
      <c r="A113" s="1" t="s">
        <v>137</v>
      </c>
      <c r="B113" s="21">
        <v>202638039859</v>
      </c>
      <c r="C113" s="25">
        <v>46027</v>
      </c>
      <c r="D113" s="3" t="s">
        <v>16</v>
      </c>
      <c r="F113" s="9" t="str">
        <f ca="1">IF(TODAY()-C113&gt;180,"انتهت صلاحية القرار","القرار صالح")</f>
        <v>القرار صالح</v>
      </c>
      <c r="G113" s="16">
        <f ca="1">MAX(0,180-(TODAY()-C113))</f>
        <v>89</v>
      </c>
    </row>
    <row r="114" spans="1:7" ht="15.75" customHeight="1" x14ac:dyDescent="0.25">
      <c r="A114" s="1" t="s">
        <v>138</v>
      </c>
      <c r="B114" s="21">
        <v>202638039873</v>
      </c>
      <c r="C114" s="25">
        <v>46027</v>
      </c>
      <c r="D114" s="3" t="s">
        <v>7</v>
      </c>
      <c r="E114" s="1" t="s">
        <v>139</v>
      </c>
      <c r="F114" s="9" t="str">
        <f ca="1">IF(TODAY()-C114&gt;180,"انتهت صلاحية القرار","القرار صالح")</f>
        <v>القرار صالح</v>
      </c>
      <c r="G114" s="16">
        <f ca="1">MAX(0,180-(TODAY()-C114))</f>
        <v>89</v>
      </c>
    </row>
    <row r="115" spans="1:7" ht="15.75" customHeight="1" x14ac:dyDescent="0.25">
      <c r="A115" s="1" t="s">
        <v>140</v>
      </c>
      <c r="B115" s="21">
        <v>202638060445</v>
      </c>
      <c r="C115" s="25">
        <v>46028</v>
      </c>
      <c r="D115" s="3" t="s">
        <v>7</v>
      </c>
      <c r="E115" s="1" t="s">
        <v>113</v>
      </c>
      <c r="F115" s="9" t="str">
        <f ca="1">IF(TODAY()-C115&gt;180,"انتهت صلاحية القرار","القرار صالح")</f>
        <v>القرار صالح</v>
      </c>
      <c r="G115" s="16">
        <f ca="1">MAX(0,180-(TODAY()-C115))</f>
        <v>90</v>
      </c>
    </row>
    <row r="116" spans="1:7" ht="15.75" customHeight="1" x14ac:dyDescent="0.25">
      <c r="A116" s="1" t="s">
        <v>141</v>
      </c>
      <c r="B116" s="21">
        <v>202638060452</v>
      </c>
      <c r="C116" s="25">
        <v>46028</v>
      </c>
      <c r="D116" s="3" t="s">
        <v>16</v>
      </c>
      <c r="F116" s="9" t="str">
        <f ca="1">IF(TODAY()-C116&gt;180,"انتهت صلاحية القرار","القرار صالح")</f>
        <v>القرار صالح</v>
      </c>
      <c r="G116" s="16">
        <f ca="1">MAX(0,180-(TODAY()-C116))</f>
        <v>90</v>
      </c>
    </row>
    <row r="117" spans="1:7" ht="15.75" customHeight="1" x14ac:dyDescent="0.25">
      <c r="A117" s="1" t="s">
        <v>142</v>
      </c>
      <c r="B117" s="21">
        <v>202638094959</v>
      </c>
      <c r="C117" s="25">
        <v>46030</v>
      </c>
      <c r="D117" s="3" t="s">
        <v>7</v>
      </c>
      <c r="E117" s="4">
        <v>46024</v>
      </c>
      <c r="F117" s="9" t="str">
        <f ca="1">IF(TODAY()-C117&gt;180,"انتهت صلاحية القرار","القرار صالح")</f>
        <v>القرار صالح</v>
      </c>
      <c r="G117" s="16">
        <f ca="1">MAX(0,180-(TODAY()-C117))</f>
        <v>92</v>
      </c>
    </row>
    <row r="118" spans="1:7" ht="15.75" customHeight="1" x14ac:dyDescent="0.25">
      <c r="A118" s="1" t="s">
        <v>143</v>
      </c>
      <c r="B118" s="21">
        <v>202638089471</v>
      </c>
      <c r="C118" s="25">
        <v>46030</v>
      </c>
      <c r="D118" s="3" t="s">
        <v>7</v>
      </c>
      <c r="E118" s="1" t="s">
        <v>117</v>
      </c>
      <c r="F118" s="9" t="str">
        <f ca="1">IF(TODAY()-C118&gt;180,"انتهت صلاحية القرار","القرار صالح")</f>
        <v>القرار صالح</v>
      </c>
      <c r="G118" s="16">
        <f ca="1">MAX(0,180-(TODAY()-C118))</f>
        <v>92</v>
      </c>
    </row>
    <row r="119" spans="1:7" ht="15.75" customHeight="1" x14ac:dyDescent="0.25">
      <c r="A119" s="1" t="s">
        <v>144</v>
      </c>
      <c r="B119" s="21">
        <v>202638119001</v>
      </c>
      <c r="C119" s="25">
        <v>46033</v>
      </c>
      <c r="D119" s="3" t="s">
        <v>7</v>
      </c>
      <c r="E119" s="4">
        <v>46024</v>
      </c>
      <c r="F119" s="9" t="str">
        <f ca="1">IF(TODAY()-C119&gt;180,"انتهت صلاحية القرار","القرار صالح")</f>
        <v>القرار صالح</v>
      </c>
      <c r="G119" s="16">
        <f ca="1">MAX(0,180-(TODAY()-C119))</f>
        <v>95</v>
      </c>
    </row>
    <row r="120" spans="1:7" ht="15.75" customHeight="1" x14ac:dyDescent="0.25">
      <c r="A120" s="1" t="s">
        <v>145</v>
      </c>
      <c r="B120" s="21">
        <v>202638117861</v>
      </c>
      <c r="C120" s="25">
        <v>46033</v>
      </c>
      <c r="D120" s="3" t="s">
        <v>7</v>
      </c>
      <c r="E120" s="1" t="s">
        <v>131</v>
      </c>
      <c r="F120" s="9" t="str">
        <f ca="1">IF(TODAY()-C120&gt;180,"انتهت صلاحية القرار","القرار صالح")</f>
        <v>القرار صالح</v>
      </c>
      <c r="G120" s="16">
        <f ca="1">MAX(0,180-(TODAY()-C120))</f>
        <v>95</v>
      </c>
    </row>
    <row r="121" spans="1:7" ht="15.75" customHeight="1" x14ac:dyDescent="0.25">
      <c r="A121" s="1" t="s">
        <v>146</v>
      </c>
      <c r="B121" s="21">
        <v>202638117876</v>
      </c>
      <c r="C121" s="25">
        <v>46033</v>
      </c>
      <c r="D121" s="3" t="s">
        <v>7</v>
      </c>
      <c r="E121" s="1" t="s">
        <v>131</v>
      </c>
      <c r="F121" s="9" t="str">
        <f ca="1">IF(TODAY()-C121&gt;180,"انتهت صلاحية القرار","القرار صالح")</f>
        <v>القرار صالح</v>
      </c>
      <c r="G121" s="16">
        <f ca="1">MAX(0,180-(TODAY()-C121))</f>
        <v>95</v>
      </c>
    </row>
    <row r="122" spans="1:7" ht="15.75" customHeight="1" x14ac:dyDescent="0.25">
      <c r="A122" s="3" t="s">
        <v>147</v>
      </c>
      <c r="B122" s="21">
        <v>202638118572</v>
      </c>
      <c r="C122" s="25">
        <v>46033</v>
      </c>
      <c r="D122" s="3" t="s">
        <v>7</v>
      </c>
      <c r="E122" s="1" t="s">
        <v>131</v>
      </c>
      <c r="F122" s="9" t="str">
        <f ca="1">IF(TODAY()-C122&gt;180,"انتهت صلاحية القرار","القرار صالح")</f>
        <v>القرار صالح</v>
      </c>
      <c r="G122" s="16">
        <f ca="1">MAX(0,180-(TODAY()-C122))</f>
        <v>95</v>
      </c>
    </row>
    <row r="123" spans="1:7" ht="15.75" customHeight="1" x14ac:dyDescent="0.25">
      <c r="A123" s="1" t="s">
        <v>148</v>
      </c>
      <c r="B123" s="21">
        <v>202638117871</v>
      </c>
      <c r="C123" s="25">
        <v>46033</v>
      </c>
      <c r="D123" s="3" t="s">
        <v>7</v>
      </c>
      <c r="E123" s="1" t="s">
        <v>12</v>
      </c>
      <c r="F123" s="9" t="str">
        <f ca="1">IF(TODAY()-C123&gt;180,"انتهت صلاحية القرار","القرار صالح")</f>
        <v>القرار صالح</v>
      </c>
      <c r="G123" s="16">
        <f ca="1">MAX(0,180-(TODAY()-C123))</f>
        <v>95</v>
      </c>
    </row>
    <row r="124" spans="1:7" ht="15.75" customHeight="1" x14ac:dyDescent="0.25">
      <c r="A124" s="1" t="s">
        <v>149</v>
      </c>
      <c r="B124" s="21">
        <v>202638109941</v>
      </c>
      <c r="C124" s="25">
        <v>46033</v>
      </c>
      <c r="D124" s="3" t="s">
        <v>7</v>
      </c>
      <c r="E124" s="1" t="s">
        <v>150</v>
      </c>
      <c r="F124" s="9" t="str">
        <f ca="1">IF(TODAY()-C124&gt;180,"انتهت صلاحية القرار","القرار صالح")</f>
        <v>القرار صالح</v>
      </c>
      <c r="G124" s="16">
        <f ca="1">MAX(0,180-(TODAY()-C124))</f>
        <v>95</v>
      </c>
    </row>
    <row r="125" spans="1:7" ht="15.75" customHeight="1" x14ac:dyDescent="0.25">
      <c r="A125" s="3" t="s">
        <v>151</v>
      </c>
      <c r="B125" s="21">
        <v>202638118564</v>
      </c>
      <c r="C125" s="25">
        <v>46033</v>
      </c>
      <c r="D125" s="3" t="s">
        <v>16</v>
      </c>
      <c r="F125" s="9" t="str">
        <f ca="1">IF(TODAY()-C125&gt;180,"انتهت صلاحية القرار","القرار صالح")</f>
        <v>القرار صالح</v>
      </c>
      <c r="G125" s="16">
        <f ca="1">MAX(0,180-(TODAY()-C125))</f>
        <v>95</v>
      </c>
    </row>
    <row r="126" spans="1:7" ht="15.75" customHeight="1" x14ac:dyDescent="0.25">
      <c r="A126" s="3" t="s">
        <v>152</v>
      </c>
      <c r="B126" s="21">
        <v>202638215553</v>
      </c>
      <c r="C126" s="25">
        <v>46040</v>
      </c>
      <c r="D126" s="3" t="s">
        <v>7</v>
      </c>
      <c r="E126" s="4">
        <v>46024</v>
      </c>
      <c r="F126" s="9" t="str">
        <f ca="1">IF(TODAY()-C126&gt;180,"انتهت صلاحية القرار","القرار صالح")</f>
        <v>القرار صالح</v>
      </c>
      <c r="G126" s="16">
        <f ca="1">MAX(0,180-(TODAY()-C126))</f>
        <v>102</v>
      </c>
    </row>
    <row r="127" spans="1:7" ht="15.75" customHeight="1" x14ac:dyDescent="0.25">
      <c r="A127" s="3" t="s">
        <v>153</v>
      </c>
      <c r="B127" s="21">
        <v>202638215453</v>
      </c>
      <c r="C127" s="25">
        <v>46040</v>
      </c>
      <c r="D127" s="3" t="s">
        <v>7</v>
      </c>
      <c r="E127" s="1" t="s">
        <v>12</v>
      </c>
      <c r="F127" s="9" t="str">
        <f ca="1">IF(TODAY()-C127&gt;180,"انتهت صلاحية القرار","القرار صالح")</f>
        <v>القرار صالح</v>
      </c>
      <c r="G127" s="16">
        <f ca="1">MAX(0,180-(TODAY()-C127))</f>
        <v>102</v>
      </c>
    </row>
    <row r="128" spans="1:7" ht="15.75" customHeight="1" x14ac:dyDescent="0.25">
      <c r="A128" s="3" t="s">
        <v>154</v>
      </c>
      <c r="B128" s="21">
        <v>202638215488</v>
      </c>
      <c r="C128" s="25">
        <v>46040</v>
      </c>
      <c r="D128" s="3" t="s">
        <v>7</v>
      </c>
      <c r="E128" s="1" t="s">
        <v>12</v>
      </c>
      <c r="F128" s="9" t="str">
        <f ca="1">IF(TODAY()-C128&gt;180,"انتهت صلاحية القرار","القرار صالح")</f>
        <v>القرار صالح</v>
      </c>
      <c r="G128" s="16">
        <f ca="1">MAX(0,180-(TODAY()-C128))</f>
        <v>102</v>
      </c>
    </row>
    <row r="129" spans="1:7" ht="15.75" customHeight="1" x14ac:dyDescent="0.25">
      <c r="A129" s="3" t="s">
        <v>155</v>
      </c>
      <c r="B129" s="21">
        <v>202638215521</v>
      </c>
      <c r="C129" s="25">
        <v>46040</v>
      </c>
      <c r="D129" s="3" t="s">
        <v>7</v>
      </c>
      <c r="E129" s="1" t="s">
        <v>12</v>
      </c>
      <c r="F129" s="9" t="str">
        <f ca="1">IF(TODAY()-C129&gt;180,"انتهت صلاحية القرار","القرار صالح")</f>
        <v>القرار صالح</v>
      </c>
      <c r="G129" s="16">
        <f ca="1">MAX(0,180-(TODAY()-C129))</f>
        <v>102</v>
      </c>
    </row>
    <row r="130" spans="1:7" ht="15.75" customHeight="1" x14ac:dyDescent="0.25">
      <c r="A130" s="3" t="s">
        <v>156</v>
      </c>
      <c r="B130" s="21">
        <v>202638215417</v>
      </c>
      <c r="C130" s="25">
        <v>46040</v>
      </c>
      <c r="D130" s="3" t="s">
        <v>7</v>
      </c>
      <c r="E130" s="1" t="s">
        <v>117</v>
      </c>
      <c r="F130" s="9" t="str">
        <f ca="1">IF(TODAY()-C130&gt;180,"انتهت صلاحية القرار","القرار صالح")</f>
        <v>القرار صالح</v>
      </c>
      <c r="G130" s="16">
        <f ca="1">MAX(0,180-(TODAY()-C130))</f>
        <v>102</v>
      </c>
    </row>
    <row r="131" spans="1:7" ht="15.75" customHeight="1" x14ac:dyDescent="0.25">
      <c r="A131" s="3" t="s">
        <v>157</v>
      </c>
      <c r="B131" s="21">
        <v>202638215427</v>
      </c>
      <c r="C131" s="25">
        <v>46040</v>
      </c>
      <c r="D131" s="3" t="s">
        <v>7</v>
      </c>
      <c r="E131" s="1" t="s">
        <v>117</v>
      </c>
      <c r="F131" s="9" t="str">
        <f ca="1">IF(TODAY()-C131&gt;180,"انتهت صلاحية القرار","القرار صالح")</f>
        <v>القرار صالح</v>
      </c>
      <c r="G131" s="16">
        <f ca="1">MAX(0,180-(TODAY()-C131))</f>
        <v>102</v>
      </c>
    </row>
    <row r="132" spans="1:7" ht="15.75" customHeight="1" x14ac:dyDescent="0.25">
      <c r="A132" s="3" t="s">
        <v>158</v>
      </c>
      <c r="B132" s="21">
        <v>202638224030</v>
      </c>
      <c r="C132" s="25">
        <v>46041</v>
      </c>
      <c r="D132" s="3" t="s">
        <v>7</v>
      </c>
      <c r="E132" s="1" t="s">
        <v>117</v>
      </c>
      <c r="F132" s="9" t="str">
        <f ca="1">IF(TODAY()-C132&gt;180,"انتهت صلاحية القرار","القرار صالح")</f>
        <v>القرار صالح</v>
      </c>
      <c r="G132" s="16">
        <f ca="1">MAX(0,180-(TODAY()-C132))</f>
        <v>103</v>
      </c>
    </row>
    <row r="133" spans="1:7" ht="15.75" customHeight="1" x14ac:dyDescent="0.25">
      <c r="A133" s="3" t="s">
        <v>159</v>
      </c>
      <c r="B133" s="21">
        <v>202638259177</v>
      </c>
      <c r="C133" s="25">
        <v>46043</v>
      </c>
      <c r="D133" s="3" t="s">
        <v>7</v>
      </c>
      <c r="E133" s="1" t="s">
        <v>117</v>
      </c>
      <c r="F133" s="9" t="str">
        <f ca="1">IF(TODAY()-C133&gt;180,"انتهت صلاحية القرار","القرار صالح")</f>
        <v>القرار صالح</v>
      </c>
      <c r="G133" s="16">
        <f ca="1">MAX(0,180-(TODAY()-C133))</f>
        <v>105</v>
      </c>
    </row>
    <row r="134" spans="1:7" ht="15.75" customHeight="1" x14ac:dyDescent="0.25">
      <c r="A134" s="3" t="s">
        <v>160</v>
      </c>
      <c r="B134" s="21">
        <v>202638259178</v>
      </c>
      <c r="C134" s="25">
        <v>46043</v>
      </c>
      <c r="D134" s="3" t="s">
        <v>7</v>
      </c>
      <c r="E134" s="1" t="s">
        <v>117</v>
      </c>
      <c r="F134" s="9" t="str">
        <f ca="1">IF(TODAY()-C134&gt;180,"انتهت صلاحية القرار","القرار صالح")</f>
        <v>القرار صالح</v>
      </c>
      <c r="G134" s="16">
        <f ca="1">MAX(0,180-(TODAY()-C134))</f>
        <v>105</v>
      </c>
    </row>
    <row r="135" spans="1:7" ht="15.75" customHeight="1" x14ac:dyDescent="0.25">
      <c r="A135" s="3" t="s">
        <v>161</v>
      </c>
      <c r="B135" s="21">
        <v>202638259179</v>
      </c>
      <c r="C135" s="25">
        <v>46043</v>
      </c>
      <c r="D135" s="3" t="s">
        <v>7</v>
      </c>
      <c r="E135" s="1" t="s">
        <v>117</v>
      </c>
      <c r="F135" s="9" t="str">
        <f ca="1">IF(TODAY()-C135&gt;180,"انتهت صلاحية القرار","القرار صالح")</f>
        <v>القرار صالح</v>
      </c>
      <c r="G135" s="16">
        <f ca="1">MAX(0,180-(TODAY()-C135))</f>
        <v>105</v>
      </c>
    </row>
    <row r="136" spans="1:7" ht="15.75" customHeight="1" x14ac:dyDescent="0.25">
      <c r="A136" s="3" t="s">
        <v>162</v>
      </c>
      <c r="B136" s="21">
        <v>202638259176</v>
      </c>
      <c r="C136" s="25">
        <v>46043</v>
      </c>
      <c r="D136" s="3" t="s">
        <v>7</v>
      </c>
      <c r="E136" s="1" t="s">
        <v>163</v>
      </c>
      <c r="F136" s="9" t="str">
        <f ca="1">IF(TODAY()-C136&gt;180,"انتهت صلاحية القرار","القرار صالح")</f>
        <v>القرار صالح</v>
      </c>
      <c r="G136" s="16">
        <f ca="1">MAX(0,180-(TODAY()-C136))</f>
        <v>105</v>
      </c>
    </row>
    <row r="137" spans="1:7" ht="15.75" customHeight="1" x14ac:dyDescent="0.25">
      <c r="A137" s="3" t="s">
        <v>164</v>
      </c>
      <c r="B137" s="21">
        <v>202638308733</v>
      </c>
      <c r="C137" s="25">
        <v>46047</v>
      </c>
      <c r="D137" s="3" t="s">
        <v>7</v>
      </c>
      <c r="E137" s="4">
        <v>46024</v>
      </c>
      <c r="F137" s="9" t="str">
        <f ca="1">IF(TODAY()-C137&gt;180,"انتهت صلاحية القرار","القرار صالح")</f>
        <v>القرار صالح</v>
      </c>
      <c r="G137" s="16">
        <f ca="1">MAX(0,180-(TODAY()-C137))</f>
        <v>109</v>
      </c>
    </row>
    <row r="138" spans="1:7" ht="15.75" customHeight="1" x14ac:dyDescent="0.25">
      <c r="A138" s="3" t="s">
        <v>165</v>
      </c>
      <c r="B138" s="21">
        <v>202638308767</v>
      </c>
      <c r="C138" s="25">
        <v>46047</v>
      </c>
      <c r="D138" s="3" t="s">
        <v>7</v>
      </c>
      <c r="E138" s="1" t="s">
        <v>163</v>
      </c>
      <c r="F138" s="9" t="str">
        <f ca="1">IF(TODAY()-C138&gt;180,"انتهت صلاحية القرار","القرار صالح")</f>
        <v>القرار صالح</v>
      </c>
      <c r="G138" s="16">
        <f ca="1">MAX(0,180-(TODAY()-C138))</f>
        <v>109</v>
      </c>
    </row>
    <row r="139" spans="1:7" ht="15.75" customHeight="1" x14ac:dyDescent="0.25">
      <c r="A139" s="3" t="s">
        <v>166</v>
      </c>
      <c r="B139" s="21">
        <v>202638308740</v>
      </c>
      <c r="C139" s="25">
        <v>46047</v>
      </c>
      <c r="D139" s="3" t="s">
        <v>16</v>
      </c>
      <c r="F139" s="9" t="str">
        <f ca="1">IF(TODAY()-C139&gt;180,"انتهت صلاحية القرار","القرار صالح")</f>
        <v>القرار صالح</v>
      </c>
      <c r="G139" s="16">
        <f ca="1">MAX(0,180-(TODAY()-C139))</f>
        <v>109</v>
      </c>
    </row>
    <row r="140" spans="1:7" ht="15.75" customHeight="1" x14ac:dyDescent="0.25">
      <c r="A140" s="3" t="s">
        <v>167</v>
      </c>
      <c r="B140" s="21">
        <v>202638361510</v>
      </c>
      <c r="C140" s="25">
        <v>46053</v>
      </c>
      <c r="D140" s="3" t="s">
        <v>7</v>
      </c>
      <c r="E140" s="4">
        <v>46024</v>
      </c>
      <c r="F140" s="9" t="str">
        <f ca="1">IF(TODAY()-C140&gt;180,"انتهت صلاحية القرار","القرار صالح")</f>
        <v>القرار صالح</v>
      </c>
      <c r="G140" s="16">
        <f ca="1">MAX(0,180-(TODAY()-C140))</f>
        <v>115</v>
      </c>
    </row>
    <row r="141" spans="1:7" ht="15.75" customHeight="1" x14ac:dyDescent="0.25">
      <c r="A141" s="3" t="s">
        <v>168</v>
      </c>
      <c r="B141" s="21">
        <v>202638361525</v>
      </c>
      <c r="C141" s="25">
        <v>46053</v>
      </c>
      <c r="D141" s="3" t="s">
        <v>7</v>
      </c>
      <c r="E141" s="4">
        <v>46024</v>
      </c>
      <c r="F141" s="9" t="str">
        <f ca="1">IF(TODAY()-C141&gt;180,"انتهت صلاحية القرار","القرار صالح")</f>
        <v>القرار صالح</v>
      </c>
      <c r="G141" s="16">
        <f ca="1">MAX(0,180-(TODAY()-C141))</f>
        <v>115</v>
      </c>
    </row>
    <row r="142" spans="1:7" ht="15.75" customHeight="1" x14ac:dyDescent="0.25">
      <c r="A142" s="3" t="s">
        <v>169</v>
      </c>
      <c r="B142" s="21">
        <v>202638361484</v>
      </c>
      <c r="C142" s="25">
        <v>46053</v>
      </c>
      <c r="D142" s="3" t="s">
        <v>7</v>
      </c>
      <c r="E142" s="4">
        <v>46024</v>
      </c>
      <c r="F142" s="9" t="str">
        <f ca="1">IF(TODAY()-C142&gt;180,"انتهت صلاحية القرار","القرار صالح")</f>
        <v>القرار صالح</v>
      </c>
      <c r="G142" s="16">
        <f ca="1">MAX(0,180-(TODAY()-C142))</f>
        <v>115</v>
      </c>
    </row>
    <row r="143" spans="1:7" ht="15.75" customHeight="1" x14ac:dyDescent="0.25">
      <c r="A143" s="3" t="s">
        <v>170</v>
      </c>
      <c r="B143" s="21">
        <v>202638361516</v>
      </c>
      <c r="C143" s="25">
        <v>46053</v>
      </c>
      <c r="D143" s="3" t="s">
        <v>7</v>
      </c>
      <c r="E143" s="4">
        <v>46114</v>
      </c>
      <c r="F143" s="9" t="str">
        <f ca="1">IF(TODAY()-C143&gt;180,"انتهت صلاحية القرار","القرار صالح")</f>
        <v>القرار صالح</v>
      </c>
      <c r="G143" s="16">
        <f ca="1">MAX(0,180-(TODAY()-C143))</f>
        <v>115</v>
      </c>
    </row>
    <row r="144" spans="1:7" ht="15.75" customHeight="1" x14ac:dyDescent="0.25">
      <c r="A144" s="3" t="s">
        <v>171</v>
      </c>
      <c r="B144" s="21">
        <v>202638361501</v>
      </c>
      <c r="C144" s="25">
        <v>46053</v>
      </c>
      <c r="D144" s="3" t="s">
        <v>7</v>
      </c>
      <c r="E144" s="4">
        <v>46115</v>
      </c>
      <c r="F144" s="9" t="str">
        <f ca="1">IF(TODAY()-C144&gt;180,"انتهت صلاحية القرار","القرار صالح")</f>
        <v>القرار صالح</v>
      </c>
      <c r="G144" s="16">
        <f ca="1">MAX(0,180-(TODAY()-C144))</f>
        <v>115</v>
      </c>
    </row>
    <row r="145" spans="1:7" ht="15.75" customHeight="1" x14ac:dyDescent="0.25">
      <c r="A145" s="3" t="s">
        <v>172</v>
      </c>
      <c r="B145" s="21">
        <v>202638361457</v>
      </c>
      <c r="C145" s="25">
        <v>46053</v>
      </c>
      <c r="D145" s="3" t="s">
        <v>7</v>
      </c>
      <c r="E145" s="1" t="s">
        <v>257</v>
      </c>
      <c r="F145" s="9" t="str">
        <f ca="1">IF(TODAY()-C145&gt;180,"انتهت صلاحية القرار","القرار صالح")</f>
        <v>القرار صالح</v>
      </c>
      <c r="G145" s="16">
        <f ca="1">MAX(0,180-(TODAY()-C145))</f>
        <v>115</v>
      </c>
    </row>
    <row r="146" spans="1:7" ht="15.75" customHeight="1" x14ac:dyDescent="0.25">
      <c r="A146" s="3" t="s">
        <v>174</v>
      </c>
      <c r="B146" s="21">
        <v>202638408544</v>
      </c>
      <c r="C146" s="25">
        <v>46056</v>
      </c>
      <c r="D146" s="3" t="s">
        <v>7</v>
      </c>
      <c r="E146" s="4">
        <v>46114</v>
      </c>
      <c r="F146" s="9" t="str">
        <f ca="1">IF(TODAY()-C146&gt;180,"انتهت صلاحية القرار","القرار صالح")</f>
        <v>القرار صالح</v>
      </c>
      <c r="G146" s="16">
        <f ca="1">MAX(0,180-(TODAY()-C146))</f>
        <v>118</v>
      </c>
    </row>
    <row r="147" spans="1:7" ht="15.75" customHeight="1" x14ac:dyDescent="0.25">
      <c r="A147" s="3" t="s">
        <v>175</v>
      </c>
      <c r="B147" s="21">
        <v>202638408575</v>
      </c>
      <c r="C147" s="25">
        <v>46056</v>
      </c>
      <c r="D147" s="3" t="s">
        <v>7</v>
      </c>
      <c r="E147" s="4">
        <v>46114</v>
      </c>
      <c r="F147" s="9" t="str">
        <f ca="1">IF(TODAY()-C147&gt;180,"انتهت صلاحية القرار","القرار صالح")</f>
        <v>القرار صالح</v>
      </c>
      <c r="G147" s="16">
        <f ca="1">MAX(0,180-(TODAY()-C147))</f>
        <v>118</v>
      </c>
    </row>
    <row r="148" spans="1:7" ht="15.75" customHeight="1" x14ac:dyDescent="0.25">
      <c r="A148" s="3" t="s">
        <v>176</v>
      </c>
      <c r="B148" s="21">
        <v>202638408572</v>
      </c>
      <c r="C148" s="25">
        <v>46056</v>
      </c>
      <c r="D148" s="3" t="s">
        <v>7</v>
      </c>
      <c r="E148" s="4">
        <v>46236</v>
      </c>
      <c r="F148" s="9" t="str">
        <f ca="1">IF(TODAY()-C148&gt;180,"انتهت صلاحية القرار","القرار صالح")</f>
        <v>القرار صالح</v>
      </c>
      <c r="G148" s="16">
        <f ca="1">MAX(0,180-(TODAY()-C148))</f>
        <v>118</v>
      </c>
    </row>
    <row r="149" spans="1:7" ht="15.75" customHeight="1" x14ac:dyDescent="0.25">
      <c r="A149" s="3" t="s">
        <v>177</v>
      </c>
      <c r="B149" s="21">
        <v>202638408056</v>
      </c>
      <c r="C149" s="25">
        <v>46056</v>
      </c>
      <c r="D149" s="3" t="s">
        <v>7</v>
      </c>
      <c r="E149" s="1" t="s">
        <v>178</v>
      </c>
      <c r="F149" s="9" t="str">
        <f ca="1">IF(TODAY()-C149&gt;180,"انتهت صلاحية القرار","القرار صالح")</f>
        <v>القرار صالح</v>
      </c>
      <c r="G149" s="16">
        <f ca="1">MAX(0,180-(TODAY()-C149))</f>
        <v>118</v>
      </c>
    </row>
    <row r="150" spans="1:7" ht="15.75" customHeight="1" x14ac:dyDescent="0.25">
      <c r="A150" s="3" t="s">
        <v>179</v>
      </c>
      <c r="B150" s="21">
        <v>202638408549</v>
      </c>
      <c r="C150" s="25">
        <v>46056</v>
      </c>
      <c r="D150" s="3" t="s">
        <v>7</v>
      </c>
      <c r="E150" s="1" t="s">
        <v>178</v>
      </c>
      <c r="F150" s="9" t="str">
        <f ca="1">IF(TODAY()-C150&gt;180,"انتهت صلاحية القرار","القرار صالح")</f>
        <v>القرار صالح</v>
      </c>
      <c r="G150" s="16">
        <f ca="1">MAX(0,180-(TODAY()-C150))</f>
        <v>118</v>
      </c>
    </row>
    <row r="151" spans="1:7" ht="15.75" customHeight="1" x14ac:dyDescent="0.25">
      <c r="A151" s="3" t="s">
        <v>180</v>
      </c>
      <c r="B151" s="21">
        <v>202638448596</v>
      </c>
      <c r="C151" s="25">
        <v>46060</v>
      </c>
      <c r="D151" s="3" t="s">
        <v>7</v>
      </c>
      <c r="E151" s="4">
        <v>46236</v>
      </c>
      <c r="F151" s="9" t="str">
        <f ca="1">IF(TODAY()-C151&gt;180,"انتهت صلاحية القرار","القرار صالح")</f>
        <v>القرار صالح</v>
      </c>
      <c r="G151" s="16">
        <f ca="1">MAX(0,180-(TODAY()-C151))</f>
        <v>122</v>
      </c>
    </row>
    <row r="152" spans="1:7" ht="15.75" customHeight="1" x14ac:dyDescent="0.25">
      <c r="A152" s="3" t="s">
        <v>181</v>
      </c>
      <c r="B152" s="21">
        <v>202638448366</v>
      </c>
      <c r="C152" s="25">
        <v>46060</v>
      </c>
      <c r="D152" s="3" t="s">
        <v>7</v>
      </c>
      <c r="E152" s="1" t="s">
        <v>178</v>
      </c>
      <c r="F152" s="9" t="str">
        <f ca="1">IF(TODAY()-C152&gt;180,"انتهت صلاحية القرار","القرار صالح")</f>
        <v>القرار صالح</v>
      </c>
      <c r="G152" s="16">
        <f ca="1">MAX(0,180-(TODAY()-C152))</f>
        <v>122</v>
      </c>
    </row>
    <row r="153" spans="1:7" ht="15.75" customHeight="1" x14ac:dyDescent="0.25">
      <c r="A153" s="3" t="s">
        <v>182</v>
      </c>
      <c r="B153" s="21">
        <v>202638448047</v>
      </c>
      <c r="C153" s="25">
        <v>46060</v>
      </c>
      <c r="D153" s="3" t="s">
        <v>7</v>
      </c>
      <c r="E153" s="1" t="s">
        <v>178</v>
      </c>
      <c r="F153" s="9" t="str">
        <f ca="1">IF(TODAY()-C153&gt;180,"انتهت صلاحية القرار","القرار صالح")</f>
        <v>القرار صالح</v>
      </c>
      <c r="G153" s="16">
        <f ca="1">MAX(0,180-(TODAY()-C153))</f>
        <v>122</v>
      </c>
    </row>
    <row r="154" spans="1:7" ht="15.75" customHeight="1" x14ac:dyDescent="0.25">
      <c r="A154" s="3" t="s">
        <v>183</v>
      </c>
      <c r="B154" s="21">
        <v>202638448591</v>
      </c>
      <c r="C154" s="25">
        <v>46060</v>
      </c>
      <c r="D154" s="3" t="s">
        <v>7</v>
      </c>
      <c r="E154" s="1" t="s">
        <v>136</v>
      </c>
      <c r="F154" s="9" t="str">
        <f ca="1">IF(TODAY()-C154&gt;180,"انتهت صلاحية القرار","القرار صالح")</f>
        <v>القرار صالح</v>
      </c>
      <c r="G154" s="16">
        <f ca="1">MAX(0,180-(TODAY()-C154))</f>
        <v>122</v>
      </c>
    </row>
    <row r="155" spans="1:7" ht="15.75" customHeight="1" x14ac:dyDescent="0.25">
      <c r="A155" s="3" t="s">
        <v>184</v>
      </c>
      <c r="B155" s="21">
        <v>202638473669</v>
      </c>
      <c r="C155" s="25">
        <v>46062</v>
      </c>
      <c r="D155" s="3" t="s">
        <v>7</v>
      </c>
      <c r="E155" s="1" t="s">
        <v>178</v>
      </c>
      <c r="F155" s="9" t="str">
        <f ca="1">IF(TODAY()-C155&gt;180,"انتهت صلاحية القرار","القرار صالح")</f>
        <v>القرار صالح</v>
      </c>
      <c r="G155" s="16">
        <f ca="1">MAX(0,180-(TODAY()-C155))</f>
        <v>124</v>
      </c>
    </row>
    <row r="156" spans="1:7" ht="15.75" customHeight="1" x14ac:dyDescent="0.25">
      <c r="A156" s="3" t="s">
        <v>185</v>
      </c>
      <c r="B156" s="21">
        <v>202638515837</v>
      </c>
      <c r="C156" s="25">
        <v>46067</v>
      </c>
      <c r="D156" s="3" t="s">
        <v>7</v>
      </c>
      <c r="E156" s="1" t="s">
        <v>178</v>
      </c>
      <c r="F156" s="9" t="str">
        <f ca="1">IF(TODAY()-C156&gt;180,"انتهت صلاحية القرار","القرار صالح")</f>
        <v>القرار صالح</v>
      </c>
      <c r="G156" s="16">
        <f ca="1">MAX(0,180-(TODAY()-C156))</f>
        <v>129</v>
      </c>
    </row>
    <row r="157" spans="1:7" ht="15.75" customHeight="1" x14ac:dyDescent="0.25">
      <c r="A157" s="3" t="s">
        <v>186</v>
      </c>
      <c r="B157" s="21">
        <v>202638515853</v>
      </c>
      <c r="C157" s="25">
        <v>46067</v>
      </c>
      <c r="D157" s="3" t="s">
        <v>7</v>
      </c>
      <c r="E157" s="1" t="s">
        <v>178</v>
      </c>
      <c r="F157" s="9" t="str">
        <f ca="1">IF(TODAY()-C157&gt;180,"انتهت صلاحية القرار","القرار صالح")</f>
        <v>القرار صالح</v>
      </c>
      <c r="G157" s="16">
        <f ca="1">MAX(0,180-(TODAY()-C157))</f>
        <v>129</v>
      </c>
    </row>
    <row r="158" spans="1:7" ht="15.75" customHeight="1" x14ac:dyDescent="0.25">
      <c r="A158" s="3" t="s">
        <v>187</v>
      </c>
      <c r="B158" s="21">
        <v>202638515871</v>
      </c>
      <c r="C158" s="25">
        <v>46067</v>
      </c>
      <c r="D158" s="3" t="s">
        <v>7</v>
      </c>
      <c r="E158" s="1" t="s">
        <v>178</v>
      </c>
      <c r="F158" s="9" t="str">
        <f ca="1">IF(TODAY()-C158&gt;180,"انتهت صلاحية القرار","القرار صالح")</f>
        <v>القرار صالح</v>
      </c>
      <c r="G158" s="16">
        <f ca="1">MAX(0,180-(TODAY()-C158))</f>
        <v>129</v>
      </c>
    </row>
    <row r="159" spans="1:7" ht="15.75" customHeight="1" x14ac:dyDescent="0.25">
      <c r="A159" s="3" t="s">
        <v>188</v>
      </c>
      <c r="B159" s="21">
        <v>202638516439</v>
      </c>
      <c r="C159" s="25">
        <v>46067</v>
      </c>
      <c r="D159" s="3" t="s">
        <v>7</v>
      </c>
      <c r="E159" s="1" t="s">
        <v>178</v>
      </c>
      <c r="F159" s="9" t="str">
        <f ca="1">IF(TODAY()-C159&gt;180,"انتهت صلاحية القرار","القرار صالح")</f>
        <v>القرار صالح</v>
      </c>
      <c r="G159" s="16">
        <f ca="1">MAX(0,180-(TODAY()-C159))</f>
        <v>129</v>
      </c>
    </row>
    <row r="160" spans="1:7" ht="15.75" customHeight="1" x14ac:dyDescent="0.25">
      <c r="A160" s="3" t="s">
        <v>189</v>
      </c>
      <c r="B160" s="21">
        <v>202638515883</v>
      </c>
      <c r="C160" s="25">
        <v>46067</v>
      </c>
      <c r="D160" s="3" t="s">
        <v>7</v>
      </c>
      <c r="E160" s="1" t="s">
        <v>136</v>
      </c>
      <c r="F160" s="9" t="str">
        <f ca="1">IF(TODAY()-C160&gt;180,"انتهت صلاحية القرار","القرار صالح")</f>
        <v>القرار صالح</v>
      </c>
      <c r="G160" s="16">
        <f ca="1">MAX(0,180-(TODAY()-C160))</f>
        <v>129</v>
      </c>
    </row>
    <row r="161" spans="1:7" ht="15.75" customHeight="1" x14ac:dyDescent="0.25">
      <c r="A161" s="3" t="s">
        <v>190</v>
      </c>
      <c r="B161" s="21">
        <v>202638515884</v>
      </c>
      <c r="C161" s="25">
        <v>46067</v>
      </c>
      <c r="D161" s="3" t="s">
        <v>7</v>
      </c>
      <c r="E161" s="1" t="s">
        <v>136</v>
      </c>
      <c r="F161" s="9" t="str">
        <f ca="1">IF(TODAY()-C161&gt;180,"انتهت صلاحية القرار","القرار صالح")</f>
        <v>القرار صالح</v>
      </c>
      <c r="G161" s="16">
        <f ca="1">MAX(0,180-(TODAY()-C161))</f>
        <v>129</v>
      </c>
    </row>
    <row r="162" spans="1:7" ht="15.75" customHeight="1" x14ac:dyDescent="0.25">
      <c r="A162" s="3" t="s">
        <v>191</v>
      </c>
      <c r="B162" s="21">
        <v>202638516447</v>
      </c>
      <c r="C162" s="25">
        <v>46067</v>
      </c>
      <c r="D162" s="3" t="s">
        <v>7</v>
      </c>
      <c r="E162" s="1" t="s">
        <v>150</v>
      </c>
      <c r="F162" s="9" t="str">
        <f ca="1">IF(TODAY()-C162&gt;180,"انتهت صلاحية القرار","القرار صالح")</f>
        <v>القرار صالح</v>
      </c>
      <c r="G162" s="16">
        <f ca="1">MAX(0,180-(TODAY()-C162))</f>
        <v>129</v>
      </c>
    </row>
    <row r="163" spans="1:7" ht="15.75" customHeight="1" x14ac:dyDescent="0.25">
      <c r="A163" s="3" t="s">
        <v>192</v>
      </c>
      <c r="B163" s="21">
        <v>202638515901</v>
      </c>
      <c r="C163" s="25">
        <v>46067</v>
      </c>
      <c r="D163" s="3" t="s">
        <v>16</v>
      </c>
      <c r="F163" s="9" t="str">
        <f ca="1">IF(TODAY()-C163&gt;180,"انتهت صلاحية القرار","القرار صالح")</f>
        <v>القرار صالح</v>
      </c>
      <c r="G163" s="16">
        <f ca="1">MAX(0,180-(TODAY()-C163))</f>
        <v>129</v>
      </c>
    </row>
    <row r="164" spans="1:7" ht="15.75" customHeight="1" x14ac:dyDescent="0.25">
      <c r="A164" s="3" t="s">
        <v>193</v>
      </c>
      <c r="B164" s="21">
        <v>202638554366</v>
      </c>
      <c r="C164" s="25">
        <v>46068</v>
      </c>
      <c r="D164" s="3" t="s">
        <v>7</v>
      </c>
      <c r="E164" s="1" t="s">
        <v>178</v>
      </c>
      <c r="F164" s="9" t="str">
        <f ca="1">IF(TODAY()-C164&gt;180,"انتهت صلاحية القرار","القرار صالح")</f>
        <v>القرار صالح</v>
      </c>
      <c r="G164" s="16">
        <f ca="1">MAX(0,180-(TODAY()-C164))</f>
        <v>130</v>
      </c>
    </row>
    <row r="165" spans="1:7" ht="15.75" customHeight="1" x14ac:dyDescent="0.25">
      <c r="A165" s="3" t="s">
        <v>194</v>
      </c>
      <c r="B165" s="21">
        <v>202638554622</v>
      </c>
      <c r="C165" s="25">
        <v>46068</v>
      </c>
      <c r="D165" s="3" t="s">
        <v>7</v>
      </c>
      <c r="E165" s="1" t="s">
        <v>178</v>
      </c>
      <c r="F165" s="9" t="str">
        <f ca="1">IF(TODAY()-C165&gt;180,"انتهت صلاحية القرار","القرار صالح")</f>
        <v>القرار صالح</v>
      </c>
      <c r="G165" s="16">
        <f ca="1">MAX(0,180-(TODAY()-C165))</f>
        <v>130</v>
      </c>
    </row>
    <row r="166" spans="1:7" ht="15.75" customHeight="1" x14ac:dyDescent="0.25">
      <c r="A166" s="3" t="s">
        <v>195</v>
      </c>
      <c r="B166" s="21">
        <v>202638554637</v>
      </c>
      <c r="C166" s="25">
        <v>46068</v>
      </c>
      <c r="D166" s="3" t="s">
        <v>7</v>
      </c>
      <c r="E166" s="1" t="s">
        <v>178</v>
      </c>
      <c r="F166" s="9" t="str">
        <f ca="1">IF(TODAY()-C166&gt;180,"انتهت صلاحية القرار","القرار صالح")</f>
        <v>القرار صالح</v>
      </c>
      <c r="G166" s="16">
        <f ca="1">MAX(0,180-(TODAY()-C166))</f>
        <v>130</v>
      </c>
    </row>
    <row r="167" spans="1:7" ht="15.75" customHeight="1" x14ac:dyDescent="0.25">
      <c r="A167" s="3" t="s">
        <v>196</v>
      </c>
      <c r="B167" s="21">
        <v>202638554648</v>
      </c>
      <c r="C167" s="25">
        <v>46068</v>
      </c>
      <c r="D167" s="3" t="s">
        <v>7</v>
      </c>
      <c r="E167" s="1" t="s">
        <v>178</v>
      </c>
      <c r="F167" s="9" t="str">
        <f ca="1">IF(TODAY()-C167&gt;180,"انتهت صلاحية القرار","القرار صالح")</f>
        <v>القرار صالح</v>
      </c>
      <c r="G167" s="16">
        <f ca="1">MAX(0,180-(TODAY()-C167))</f>
        <v>130</v>
      </c>
    </row>
    <row r="168" spans="1:7" ht="15.75" customHeight="1" x14ac:dyDescent="0.25">
      <c r="A168" s="3" t="s">
        <v>197</v>
      </c>
      <c r="B168" s="21">
        <v>202638554651</v>
      </c>
      <c r="C168" s="25">
        <v>46068</v>
      </c>
      <c r="D168" s="3" t="s">
        <v>7</v>
      </c>
      <c r="E168" s="1" t="s">
        <v>178</v>
      </c>
      <c r="F168" s="9" t="str">
        <f ca="1">IF(TODAY()-C168&gt;180,"انتهت صلاحية القرار","القرار صالح")</f>
        <v>القرار صالح</v>
      </c>
      <c r="G168" s="16">
        <f ca="1">MAX(0,180-(TODAY()-C168))</f>
        <v>130</v>
      </c>
    </row>
    <row r="169" spans="1:7" ht="15.75" customHeight="1" x14ac:dyDescent="0.25">
      <c r="A169" s="3" t="s">
        <v>198</v>
      </c>
      <c r="B169" s="21">
        <v>202638554654</v>
      </c>
      <c r="C169" s="25">
        <v>46068</v>
      </c>
      <c r="D169" s="3" t="s">
        <v>7</v>
      </c>
      <c r="E169" s="1" t="s">
        <v>178</v>
      </c>
      <c r="F169" s="9" t="str">
        <f ca="1">IF(TODAY()-C169&gt;180,"انتهت صلاحية القرار","القرار صالح")</f>
        <v>القرار صالح</v>
      </c>
      <c r="G169" s="16">
        <f ca="1">MAX(0,180-(TODAY()-C169))</f>
        <v>130</v>
      </c>
    </row>
    <row r="170" spans="1:7" ht="15.75" customHeight="1" x14ac:dyDescent="0.25">
      <c r="A170" s="3" t="s">
        <v>199</v>
      </c>
      <c r="B170" s="21">
        <v>202638554668</v>
      </c>
      <c r="C170" s="25">
        <v>46068</v>
      </c>
      <c r="D170" s="3" t="s">
        <v>7</v>
      </c>
      <c r="E170" s="1" t="s">
        <v>178</v>
      </c>
      <c r="F170" s="9" t="str">
        <f ca="1">IF(TODAY()-C170&gt;180,"انتهت صلاحية القرار","القرار صالح")</f>
        <v>القرار صالح</v>
      </c>
      <c r="G170" s="16">
        <f ca="1">MAX(0,180-(TODAY()-C170))</f>
        <v>130</v>
      </c>
    </row>
    <row r="171" spans="1:7" ht="15.75" customHeight="1" x14ac:dyDescent="0.25">
      <c r="A171" s="3" t="s">
        <v>200</v>
      </c>
      <c r="B171" s="21">
        <v>202638554661</v>
      </c>
      <c r="C171" s="25">
        <v>46068</v>
      </c>
      <c r="D171" s="3" t="s">
        <v>7</v>
      </c>
      <c r="E171" s="1" t="s">
        <v>136</v>
      </c>
      <c r="F171" s="9" t="str">
        <f ca="1">IF(TODAY()-C171&gt;180,"انتهت صلاحية القرار","القرار صالح")</f>
        <v>القرار صالح</v>
      </c>
      <c r="G171" s="16">
        <f ca="1">MAX(0,180-(TODAY()-C171))</f>
        <v>130</v>
      </c>
    </row>
    <row r="172" spans="1:7" ht="15.75" customHeight="1" x14ac:dyDescent="0.25">
      <c r="A172" s="3" t="s">
        <v>201</v>
      </c>
      <c r="B172" s="21">
        <v>202638554636</v>
      </c>
      <c r="C172" s="25">
        <v>46068</v>
      </c>
      <c r="D172" s="3" t="s">
        <v>7</v>
      </c>
      <c r="E172" s="1" t="s">
        <v>150</v>
      </c>
      <c r="F172" s="9" t="str">
        <f ca="1">IF(TODAY()-C172&gt;180,"انتهت صلاحية القرار","القرار صالح")</f>
        <v>القرار صالح</v>
      </c>
      <c r="G172" s="16">
        <f ca="1">MAX(0,180-(TODAY()-C172))</f>
        <v>130</v>
      </c>
    </row>
    <row r="173" spans="1:7" ht="15.75" customHeight="1" x14ac:dyDescent="0.25">
      <c r="A173" s="3" t="s">
        <v>202</v>
      </c>
      <c r="B173" s="21">
        <v>202638696797</v>
      </c>
      <c r="C173" s="25">
        <v>46079</v>
      </c>
      <c r="D173" s="3" t="s">
        <v>7</v>
      </c>
      <c r="E173" s="4">
        <v>46329</v>
      </c>
      <c r="F173" s="9" t="str">
        <f ca="1">IF(TODAY()-C173&gt;180,"انتهت صلاحية القرار","القرار صالح")</f>
        <v>القرار صالح</v>
      </c>
      <c r="G173" s="16">
        <f ca="1">MAX(0,180-(TODAY()-C173))</f>
        <v>141</v>
      </c>
    </row>
    <row r="174" spans="1:7" ht="15.75" customHeight="1" x14ac:dyDescent="0.25">
      <c r="A174" s="3" t="s">
        <v>203</v>
      </c>
      <c r="B174" s="21">
        <v>202638694806</v>
      </c>
      <c r="C174" s="25">
        <v>46079</v>
      </c>
      <c r="D174" s="3" t="s">
        <v>7</v>
      </c>
      <c r="E174" s="1" t="s">
        <v>204</v>
      </c>
      <c r="F174" s="9" t="str">
        <f ca="1">IF(TODAY()-C174&gt;180,"انتهت صلاحية القرار","القرار صالح")</f>
        <v>القرار صالح</v>
      </c>
      <c r="G174" s="16">
        <f ca="1">MAX(0,180-(TODAY()-C174))</f>
        <v>141</v>
      </c>
    </row>
    <row r="175" spans="1:7" ht="15.75" customHeight="1" x14ac:dyDescent="0.25">
      <c r="A175" s="3" t="s">
        <v>205</v>
      </c>
      <c r="B175" s="21">
        <v>202638694817</v>
      </c>
      <c r="C175" s="25">
        <v>46079</v>
      </c>
      <c r="D175" s="3" t="s">
        <v>7</v>
      </c>
      <c r="E175" s="1" t="s">
        <v>204</v>
      </c>
      <c r="F175" s="9" t="str">
        <f ca="1">IF(TODAY()-C175&gt;180,"انتهت صلاحية القرار","القرار صالح")</f>
        <v>القرار صالح</v>
      </c>
      <c r="G175" s="16">
        <f ca="1">MAX(0,180-(TODAY()-C175))</f>
        <v>141</v>
      </c>
    </row>
    <row r="176" spans="1:7" ht="15.75" customHeight="1" x14ac:dyDescent="0.25">
      <c r="A176" s="3" t="s">
        <v>206</v>
      </c>
      <c r="B176" s="21">
        <v>202638694832</v>
      </c>
      <c r="C176" s="25">
        <v>46079</v>
      </c>
      <c r="D176" s="3" t="s">
        <v>7</v>
      </c>
      <c r="E176" s="1" t="s">
        <v>204</v>
      </c>
      <c r="F176" s="9" t="str">
        <f ca="1">IF(TODAY()-C176&gt;180,"انتهت صلاحية القرار","القرار صالح")</f>
        <v>القرار صالح</v>
      </c>
      <c r="G176" s="16">
        <f ca="1">MAX(0,180-(TODAY()-C176))</f>
        <v>141</v>
      </c>
    </row>
    <row r="177" spans="1:7" ht="15.75" customHeight="1" x14ac:dyDescent="0.25">
      <c r="A177" s="3" t="s">
        <v>207</v>
      </c>
      <c r="B177" s="21">
        <v>202638685009</v>
      </c>
      <c r="C177" s="25">
        <v>46079</v>
      </c>
      <c r="D177" s="3" t="s">
        <v>7</v>
      </c>
      <c r="E177" s="1" t="s">
        <v>204</v>
      </c>
      <c r="F177" s="9" t="str">
        <f ca="1">IF(TODAY()-C177&gt;180,"انتهت صلاحية القرار","القرار صالح")</f>
        <v>القرار صالح</v>
      </c>
      <c r="G177" s="16">
        <f ca="1">MAX(0,180-(TODAY()-C177))</f>
        <v>141</v>
      </c>
    </row>
    <row r="178" spans="1:7" ht="15.75" customHeight="1" x14ac:dyDescent="0.25">
      <c r="A178" s="3" t="s">
        <v>208</v>
      </c>
      <c r="B178" s="21">
        <v>202638685015</v>
      </c>
      <c r="C178" s="25">
        <v>46079</v>
      </c>
      <c r="D178" s="3" t="s">
        <v>7</v>
      </c>
      <c r="E178" s="1" t="s">
        <v>204</v>
      </c>
      <c r="F178" s="9" t="str">
        <f ca="1">IF(TODAY()-C178&gt;180,"انتهت صلاحية القرار","القرار صالح")</f>
        <v>القرار صالح</v>
      </c>
      <c r="G178" s="16">
        <f ca="1">MAX(0,180-(TODAY()-C178))</f>
        <v>141</v>
      </c>
    </row>
    <row r="179" spans="1:7" ht="15.75" customHeight="1" x14ac:dyDescent="0.25">
      <c r="A179" s="3" t="s">
        <v>209</v>
      </c>
      <c r="B179" s="21">
        <v>202638694856</v>
      </c>
      <c r="C179" s="25">
        <v>46079</v>
      </c>
      <c r="D179" s="3" t="s">
        <v>7</v>
      </c>
      <c r="E179" s="1" t="s">
        <v>204</v>
      </c>
      <c r="F179" s="9" t="str">
        <f ca="1">IF(TODAY()-C179&gt;180,"انتهت صلاحية القرار","القرار صالح")</f>
        <v>القرار صالح</v>
      </c>
      <c r="G179" s="16">
        <f ca="1">MAX(0,180-(TODAY()-C179))</f>
        <v>141</v>
      </c>
    </row>
    <row r="180" spans="1:7" ht="15.75" customHeight="1" x14ac:dyDescent="0.25">
      <c r="A180" s="3" t="s">
        <v>210</v>
      </c>
      <c r="B180" s="21">
        <v>202638685040</v>
      </c>
      <c r="C180" s="25">
        <v>46079</v>
      </c>
      <c r="D180" s="3" t="s">
        <v>7</v>
      </c>
      <c r="E180" s="1" t="s">
        <v>204</v>
      </c>
      <c r="F180" s="9" t="str">
        <f ca="1">IF(TODAY()-C180&gt;180,"انتهت صلاحية القرار","القرار صالح")</f>
        <v>القرار صالح</v>
      </c>
      <c r="G180" s="16">
        <f ca="1">MAX(0,180-(TODAY()-C180))</f>
        <v>141</v>
      </c>
    </row>
    <row r="181" spans="1:7" ht="15.75" customHeight="1" x14ac:dyDescent="0.25">
      <c r="A181" s="3" t="s">
        <v>211</v>
      </c>
      <c r="B181" s="21">
        <v>202638694887</v>
      </c>
      <c r="C181" s="25">
        <v>46079</v>
      </c>
      <c r="D181" s="3" t="s">
        <v>7</v>
      </c>
      <c r="E181" s="1" t="s">
        <v>204</v>
      </c>
      <c r="F181" s="9" t="str">
        <f ca="1">IF(TODAY()-C181&gt;180,"انتهت صلاحية القرار","القرار صالح")</f>
        <v>القرار صالح</v>
      </c>
      <c r="G181" s="16">
        <f ca="1">MAX(0,180-(TODAY()-C181))</f>
        <v>141</v>
      </c>
    </row>
    <row r="182" spans="1:7" ht="15.75" customHeight="1" x14ac:dyDescent="0.25">
      <c r="A182" s="3" t="s">
        <v>212</v>
      </c>
      <c r="B182" s="21">
        <v>202638696804</v>
      </c>
      <c r="C182" s="25">
        <v>46079</v>
      </c>
      <c r="D182" s="3" t="s">
        <v>7</v>
      </c>
      <c r="E182" s="1" t="s">
        <v>204</v>
      </c>
      <c r="F182" s="9" t="str">
        <f ca="1">IF(TODAY()-C182&gt;180,"انتهت صلاحية القرار","القرار صالح")</f>
        <v>القرار صالح</v>
      </c>
      <c r="G182" s="16">
        <f ca="1">MAX(0,180-(TODAY()-C182))</f>
        <v>141</v>
      </c>
    </row>
    <row r="183" spans="1:7" ht="15.75" customHeight="1" x14ac:dyDescent="0.25">
      <c r="A183" s="3" t="s">
        <v>213</v>
      </c>
      <c r="B183" s="21">
        <v>202638685081</v>
      </c>
      <c r="C183" s="25">
        <v>46079</v>
      </c>
      <c r="D183" s="3" t="s">
        <v>7</v>
      </c>
      <c r="E183" s="1" t="s">
        <v>204</v>
      </c>
      <c r="F183" s="9" t="str">
        <f ca="1">IF(TODAY()-C183&gt;180,"انتهت صلاحية القرار","القرار صالح")</f>
        <v>القرار صالح</v>
      </c>
      <c r="G183" s="16">
        <f ca="1">MAX(0,180-(TODAY()-C183))</f>
        <v>141</v>
      </c>
    </row>
    <row r="184" spans="1:7" ht="15.75" customHeight="1" x14ac:dyDescent="0.25">
      <c r="A184" s="3" t="s">
        <v>214</v>
      </c>
      <c r="B184" s="21">
        <v>202638794507</v>
      </c>
      <c r="C184" s="25">
        <v>46089</v>
      </c>
      <c r="D184" s="3" t="s">
        <v>7</v>
      </c>
      <c r="E184" s="4">
        <v>46237</v>
      </c>
      <c r="F184" s="9" t="str">
        <f ca="1">IF(TODAY()-C184&gt;180,"انتهت صلاحية القرار","القرار صالح")</f>
        <v>القرار صالح</v>
      </c>
      <c r="G184" s="16">
        <f ca="1">MAX(0,180-(TODAY()-C184))</f>
        <v>151</v>
      </c>
    </row>
    <row r="185" spans="1:7" ht="15.75" customHeight="1" x14ac:dyDescent="0.25">
      <c r="A185" s="3" t="s">
        <v>215</v>
      </c>
      <c r="B185" s="21">
        <v>202638794514</v>
      </c>
      <c r="C185" s="25">
        <v>46089</v>
      </c>
      <c r="D185" s="3" t="s">
        <v>7</v>
      </c>
      <c r="E185" s="4">
        <v>46238</v>
      </c>
      <c r="F185" s="9" t="str">
        <f ca="1">IF(TODAY()-C185&gt;180,"انتهت صلاحية القرار","القرار صالح")</f>
        <v>القرار صالح</v>
      </c>
      <c r="G185" s="16">
        <f ca="1">MAX(0,180-(TODAY()-C185))</f>
        <v>151</v>
      </c>
    </row>
    <row r="186" spans="1:7" ht="15.75" customHeight="1" x14ac:dyDescent="0.25">
      <c r="A186" s="3" t="s">
        <v>216</v>
      </c>
      <c r="B186" s="21">
        <v>202638794530</v>
      </c>
      <c r="C186" s="25">
        <v>46089</v>
      </c>
      <c r="D186" s="3" t="s">
        <v>7</v>
      </c>
      <c r="E186" s="4">
        <v>46238</v>
      </c>
      <c r="F186" s="9" t="str">
        <f ca="1">IF(TODAY()-C186&gt;180,"انتهت صلاحية القرار","القرار صالح")</f>
        <v>القرار صالح</v>
      </c>
      <c r="G186" s="16">
        <f ca="1">MAX(0,180-(TODAY()-C186))</f>
        <v>151</v>
      </c>
    </row>
    <row r="187" spans="1:7" ht="15.75" customHeight="1" x14ac:dyDescent="0.25">
      <c r="A187" s="3" t="s">
        <v>217</v>
      </c>
      <c r="B187" s="21">
        <v>202638796038</v>
      </c>
      <c r="C187" s="25">
        <v>46089</v>
      </c>
      <c r="D187" s="3" t="s">
        <v>7</v>
      </c>
      <c r="E187" s="4">
        <v>46238</v>
      </c>
      <c r="F187" s="9" t="str">
        <f ca="1">IF(TODAY()-C187&gt;180,"انتهت صلاحية القرار","القرار صالح")</f>
        <v>القرار صالح</v>
      </c>
      <c r="G187" s="16">
        <f ca="1">MAX(0,180-(TODAY()-C187))</f>
        <v>151</v>
      </c>
    </row>
    <row r="188" spans="1:7" ht="15.75" customHeight="1" x14ac:dyDescent="0.25">
      <c r="A188" s="3" t="s">
        <v>218</v>
      </c>
      <c r="B188" s="21">
        <v>202638794572</v>
      </c>
      <c r="C188" s="25">
        <v>46089</v>
      </c>
      <c r="D188" s="3" t="s">
        <v>7</v>
      </c>
      <c r="E188" s="4">
        <v>46238</v>
      </c>
      <c r="F188" s="9" t="str">
        <f ca="1">IF(TODAY()-C188&gt;180,"انتهت صلاحية القرار","القرار صالح")</f>
        <v>القرار صالح</v>
      </c>
      <c r="G188" s="16">
        <f ca="1">MAX(0,180-(TODAY()-C188))</f>
        <v>151</v>
      </c>
    </row>
    <row r="189" spans="1:7" ht="15.75" customHeight="1" x14ac:dyDescent="0.25">
      <c r="A189" s="3" t="s">
        <v>219</v>
      </c>
      <c r="B189" s="21">
        <v>202638793965</v>
      </c>
      <c r="C189" s="25">
        <v>46089</v>
      </c>
      <c r="D189" s="3" t="s">
        <v>7</v>
      </c>
      <c r="E189" s="4">
        <v>46329</v>
      </c>
      <c r="F189" s="9" t="str">
        <f ca="1">IF(TODAY()-C189&gt;180,"انتهت صلاحية القرار","القرار صالح")</f>
        <v>القرار صالح</v>
      </c>
      <c r="G189" s="16">
        <f ca="1">MAX(0,180-(TODAY()-C189))</f>
        <v>151</v>
      </c>
    </row>
    <row r="190" spans="1:7" ht="15.75" customHeight="1" x14ac:dyDescent="0.25">
      <c r="A190" s="3" t="s">
        <v>220</v>
      </c>
      <c r="B190" s="21">
        <v>202638797979</v>
      </c>
      <c r="C190" s="25">
        <v>46089</v>
      </c>
      <c r="D190" s="3" t="s">
        <v>7</v>
      </c>
      <c r="E190" s="4">
        <v>46329</v>
      </c>
      <c r="F190" s="9" t="str">
        <f ca="1">IF(TODAY()-C190&gt;180,"انتهت صلاحية القرار","القرار صالح")</f>
        <v>القرار صالح</v>
      </c>
      <c r="G190" s="16">
        <f ca="1">MAX(0,180-(TODAY()-C190))</f>
        <v>151</v>
      </c>
    </row>
    <row r="191" spans="1:7" ht="15.75" customHeight="1" x14ac:dyDescent="0.25">
      <c r="A191" s="3" t="s">
        <v>221</v>
      </c>
      <c r="B191" s="21">
        <v>202638794588</v>
      </c>
      <c r="C191" s="25">
        <v>46089</v>
      </c>
      <c r="D191" s="3" t="s">
        <v>7</v>
      </c>
      <c r="E191" s="4">
        <v>46329</v>
      </c>
      <c r="F191" s="9" t="str">
        <f ca="1">IF(TODAY()-C191&gt;180,"انتهت صلاحية القرار","القرار صالح")</f>
        <v>القرار صالح</v>
      </c>
      <c r="G191" s="16">
        <f ca="1">MAX(0,180-(TODAY()-C191))</f>
        <v>151</v>
      </c>
    </row>
    <row r="192" spans="1:7" ht="15.75" customHeight="1" x14ac:dyDescent="0.25">
      <c r="A192" s="3" t="s">
        <v>222</v>
      </c>
      <c r="B192" s="21">
        <v>202638794600</v>
      </c>
      <c r="C192" s="25">
        <v>46089</v>
      </c>
      <c r="D192" s="3" t="s">
        <v>7</v>
      </c>
      <c r="E192" s="4">
        <v>46329</v>
      </c>
      <c r="F192" s="9" t="str">
        <f ca="1">IF(TODAY()-C192&gt;180,"انتهت صلاحية القرار","القرار صالح")</f>
        <v>القرار صالح</v>
      </c>
      <c r="G192" s="16">
        <f ca="1">MAX(0,180-(TODAY()-C192))</f>
        <v>151</v>
      </c>
    </row>
    <row r="193" spans="1:9" ht="15.75" customHeight="1" x14ac:dyDescent="0.25">
      <c r="A193" s="3" t="s">
        <v>223</v>
      </c>
      <c r="B193" s="21">
        <v>202638794630</v>
      </c>
      <c r="C193" s="25">
        <v>46089</v>
      </c>
      <c r="D193" s="3" t="s">
        <v>7</v>
      </c>
      <c r="E193" s="4">
        <v>46329</v>
      </c>
      <c r="F193" s="9" t="str">
        <f ca="1">IF(TODAY()-C193&gt;180,"انتهت صلاحية القرار","القرار صالح")</f>
        <v>القرار صالح</v>
      </c>
      <c r="G193" s="16">
        <f ca="1">MAX(0,180-(TODAY()-C193))</f>
        <v>151</v>
      </c>
    </row>
    <row r="194" spans="1:9" ht="15.75" customHeight="1" x14ac:dyDescent="0.25">
      <c r="A194" s="3" t="s">
        <v>224</v>
      </c>
      <c r="B194" s="21">
        <v>202638793980</v>
      </c>
      <c r="C194" s="25">
        <v>46089</v>
      </c>
      <c r="D194" s="3" t="s">
        <v>7</v>
      </c>
      <c r="E194" s="1" t="s">
        <v>173</v>
      </c>
      <c r="F194" s="9" t="str">
        <f ca="1">IF(TODAY()-C194&gt;180,"انتهت صلاحية القرار","القرار صالح")</f>
        <v>القرار صالح</v>
      </c>
      <c r="G194" s="16">
        <f ca="1">MAX(0,180-(TODAY()-C194))</f>
        <v>151</v>
      </c>
    </row>
    <row r="195" spans="1:9" ht="15.75" customHeight="1" x14ac:dyDescent="0.25">
      <c r="A195" s="3" t="s">
        <v>225</v>
      </c>
      <c r="B195" s="21">
        <v>202638794792</v>
      </c>
      <c r="C195" s="25">
        <v>46089</v>
      </c>
      <c r="D195" s="3" t="s">
        <v>7</v>
      </c>
      <c r="E195" s="1" t="s">
        <v>173</v>
      </c>
      <c r="F195" s="9" t="str">
        <f ca="1">IF(TODAY()-C195&gt;180,"انتهت صلاحية القرار","القرار صالح")</f>
        <v>القرار صالح</v>
      </c>
      <c r="G195" s="16">
        <f ca="1">MAX(0,180-(TODAY()-C195))</f>
        <v>151</v>
      </c>
    </row>
    <row r="196" spans="1:9" ht="15.75" customHeight="1" x14ac:dyDescent="0.25">
      <c r="A196" s="3" t="s">
        <v>226</v>
      </c>
      <c r="B196" s="21">
        <v>202638794524</v>
      </c>
      <c r="C196" s="25">
        <v>46089</v>
      </c>
      <c r="D196" s="3" t="s">
        <v>7</v>
      </c>
      <c r="E196" s="1" t="s">
        <v>139</v>
      </c>
      <c r="F196" s="9" t="str">
        <f ca="1">IF(TODAY()-C196&gt;180,"انتهت صلاحية القرار","القرار صالح")</f>
        <v>القرار صالح</v>
      </c>
      <c r="G196" s="16">
        <f ca="1">MAX(0,180-(TODAY()-C196))</f>
        <v>151</v>
      </c>
    </row>
    <row r="197" spans="1:9" ht="15.75" customHeight="1" x14ac:dyDescent="0.25">
      <c r="A197" s="3" t="s">
        <v>227</v>
      </c>
      <c r="B197" s="21">
        <v>202638794556</v>
      </c>
      <c r="C197" s="25">
        <v>46089</v>
      </c>
      <c r="D197" s="3" t="s">
        <v>16</v>
      </c>
      <c r="F197" s="9" t="str">
        <f ca="1">IF(TODAY()-C197&gt;180,"انتهت صلاحية القرار","القرار صالح")</f>
        <v>القرار صالح</v>
      </c>
      <c r="G197" s="16">
        <f ca="1">MAX(0,180-(TODAY()-C197))</f>
        <v>151</v>
      </c>
    </row>
    <row r="198" spans="1:9" ht="16.5" customHeight="1" x14ac:dyDescent="0.25">
      <c r="A198" s="3" t="s">
        <v>228</v>
      </c>
      <c r="B198" s="21">
        <v>202638845568</v>
      </c>
      <c r="C198" s="25">
        <v>46093</v>
      </c>
      <c r="D198" s="3" t="s">
        <v>7</v>
      </c>
      <c r="E198" s="1" t="s">
        <v>173</v>
      </c>
      <c r="F198" s="9" t="str">
        <f ca="1">IF(TODAY()-C198&gt;180,"انتهت صلاحية القرار","القرار صالح")</f>
        <v>القرار صالح</v>
      </c>
      <c r="G198" s="16">
        <f ca="1">MAX(0,180-(TODAY()-C198))</f>
        <v>155</v>
      </c>
    </row>
    <row r="199" spans="1:9" ht="15.75" customHeight="1" x14ac:dyDescent="0.25">
      <c r="A199" s="3" t="s">
        <v>229</v>
      </c>
      <c r="B199" s="21">
        <v>202638835528</v>
      </c>
      <c r="C199" s="25">
        <v>46093</v>
      </c>
      <c r="D199" s="3" t="s">
        <v>7</v>
      </c>
      <c r="E199" s="1" t="s">
        <v>173</v>
      </c>
      <c r="F199" s="9" t="str">
        <f ca="1">IF(TODAY()-C199&gt;180,"انتهت صلاحية القرار","القرار صالح")</f>
        <v>القرار صالح</v>
      </c>
      <c r="G199" s="16">
        <f ca="1">MAX(0,180-(TODAY()-C199))</f>
        <v>155</v>
      </c>
    </row>
    <row r="200" spans="1:9" ht="15.75" customHeight="1" x14ac:dyDescent="0.25">
      <c r="A200" s="3" t="s">
        <v>230</v>
      </c>
      <c r="B200" s="21">
        <v>202638835541</v>
      </c>
      <c r="C200" s="25">
        <v>46093</v>
      </c>
      <c r="D200" s="3" t="s">
        <v>7</v>
      </c>
      <c r="E200" s="1" t="s">
        <v>173</v>
      </c>
      <c r="F200" s="9" t="str">
        <f ca="1">IF(TODAY()-C200&gt;180,"انتهت صلاحية القرار","القرار صالح")</f>
        <v>القرار صالح</v>
      </c>
      <c r="G200" s="16">
        <f ca="1">MAX(0,180-(TODAY()-C200))</f>
        <v>155</v>
      </c>
    </row>
    <row r="201" spans="1:9" ht="15.75" customHeight="1" x14ac:dyDescent="0.25">
      <c r="A201" s="3" t="s">
        <v>231</v>
      </c>
      <c r="B201" s="21">
        <v>202638845585</v>
      </c>
      <c r="C201" s="25">
        <v>46093</v>
      </c>
      <c r="D201" s="3" t="s">
        <v>7</v>
      </c>
      <c r="E201" s="1" t="s">
        <v>232</v>
      </c>
      <c r="F201" s="9" t="str">
        <f ca="1">IF(TODAY()-C201&gt;180,"انتهت صلاحية القرار","القرار صالح")</f>
        <v>القرار صالح</v>
      </c>
      <c r="G201" s="16">
        <f ca="1">MAX(0,180-(TODAY()-C201))</f>
        <v>155</v>
      </c>
    </row>
    <row r="202" spans="1:9" ht="15.75" customHeight="1" x14ac:dyDescent="0.25">
      <c r="A202" s="3" t="s">
        <v>233</v>
      </c>
      <c r="B202" s="21">
        <v>202638835548</v>
      </c>
      <c r="C202" s="25">
        <v>46093</v>
      </c>
      <c r="D202" s="3" t="s">
        <v>7</v>
      </c>
      <c r="E202" s="1" t="s">
        <v>232</v>
      </c>
      <c r="F202" s="9" t="str">
        <f ca="1">IF(TODAY()-C202&gt;180,"انتهت صلاحية القرار","القرار صالح")</f>
        <v>القرار صالح</v>
      </c>
      <c r="G202" s="16">
        <f ca="1">MAX(0,180-(TODAY()-C202))</f>
        <v>155</v>
      </c>
    </row>
    <row r="203" spans="1:9" ht="16.5" customHeight="1" x14ac:dyDescent="0.25">
      <c r="A203" s="3" t="s">
        <v>234</v>
      </c>
      <c r="B203" s="21">
        <v>202638845575</v>
      </c>
      <c r="C203" s="25">
        <v>46093</v>
      </c>
      <c r="D203" s="3" t="s">
        <v>7</v>
      </c>
      <c r="E203" s="4">
        <v>46146</v>
      </c>
      <c r="F203" s="9" t="str">
        <f ca="1">IF(TODAY()-C203&gt;180,"انتهت صلاحية القرار","القرار صالح")</f>
        <v>القرار صالح</v>
      </c>
      <c r="G203" s="16">
        <f ca="1">MAX(0,180-(TODAY()-C203))</f>
        <v>155</v>
      </c>
    </row>
    <row r="204" spans="1:9" s="1" customFormat="1" ht="15.75" customHeight="1" x14ac:dyDescent="0.25">
      <c r="A204" s="1" t="s">
        <v>235</v>
      </c>
      <c r="B204" s="21">
        <v>202638861849</v>
      </c>
      <c r="C204" s="25">
        <v>46095</v>
      </c>
      <c r="D204" s="3" t="s">
        <v>7</v>
      </c>
      <c r="E204" s="1" t="s">
        <v>173</v>
      </c>
      <c r="F204" s="9" t="str">
        <f ca="1">IF(TODAY()-C204&gt;180,"انتهت صلاحية القرار","القرار صالح")</f>
        <v>القرار صالح</v>
      </c>
      <c r="G204" s="16">
        <f ca="1">MAX(0,180-(TODAY()-C204))</f>
        <v>157</v>
      </c>
      <c r="H204" s="18"/>
      <c r="I204" s="16"/>
    </row>
    <row r="205" spans="1:9" s="1" customFormat="1" ht="15.75" customHeight="1" x14ac:dyDescent="0.25">
      <c r="A205" s="1" t="s">
        <v>236</v>
      </c>
      <c r="B205" s="21">
        <v>202638861859</v>
      </c>
      <c r="C205" s="25">
        <v>46095</v>
      </c>
      <c r="D205" s="3" t="s">
        <v>7</v>
      </c>
      <c r="E205" s="1" t="s">
        <v>173</v>
      </c>
      <c r="F205" s="9" t="str">
        <f ca="1">IF(TODAY()-C205&gt;180,"انتهت صلاحية القرار","القرار صالح")</f>
        <v>القرار صالح</v>
      </c>
      <c r="G205" s="16">
        <f ca="1">MAX(0,180-(TODAY()-C205))</f>
        <v>157</v>
      </c>
      <c r="H205" s="18"/>
      <c r="I205" s="16"/>
    </row>
    <row r="206" spans="1:9" s="1" customFormat="1" ht="15.75" customHeight="1" x14ac:dyDescent="0.25">
      <c r="A206" s="1" t="s">
        <v>237</v>
      </c>
      <c r="B206" s="21">
        <v>202638861863</v>
      </c>
      <c r="C206" s="25">
        <v>46095</v>
      </c>
      <c r="D206" s="3" t="s">
        <v>7</v>
      </c>
      <c r="E206" s="1" t="s">
        <v>173</v>
      </c>
      <c r="F206" s="9" t="str">
        <f ca="1">IF(TODAY()-C206&gt;180,"انتهت صلاحية القرار","القرار صالح")</f>
        <v>القرار صالح</v>
      </c>
      <c r="G206" s="16">
        <f ca="1">MAX(0,180-(TODAY()-C206))</f>
        <v>157</v>
      </c>
      <c r="H206" s="18"/>
      <c r="I206" s="16"/>
    </row>
    <row r="207" spans="1:9" s="1" customFormat="1" ht="15.75" customHeight="1" x14ac:dyDescent="0.25">
      <c r="A207" s="1" t="s">
        <v>238</v>
      </c>
      <c r="B207" s="21">
        <v>202638861890</v>
      </c>
      <c r="C207" s="25">
        <v>46095</v>
      </c>
      <c r="D207" s="3" t="s">
        <v>7</v>
      </c>
      <c r="E207" s="1" t="s">
        <v>173</v>
      </c>
      <c r="F207" s="9" t="str">
        <f ca="1">IF(TODAY()-C207&gt;180,"انتهت صلاحية القرار","القرار صالح")</f>
        <v>القرار صالح</v>
      </c>
      <c r="G207" s="16">
        <f ca="1">MAX(0,180-(TODAY()-C207))</f>
        <v>157</v>
      </c>
      <c r="H207" s="18"/>
      <c r="I207" s="16"/>
    </row>
    <row r="208" spans="1:9" s="1" customFormat="1" ht="15.75" customHeight="1" x14ac:dyDescent="0.25">
      <c r="A208" s="1" t="s">
        <v>239</v>
      </c>
      <c r="B208" s="21">
        <v>202638862164</v>
      </c>
      <c r="C208" s="25">
        <v>46095</v>
      </c>
      <c r="D208" s="3" t="s">
        <v>7</v>
      </c>
      <c r="E208" s="1" t="s">
        <v>173</v>
      </c>
      <c r="F208" s="9" t="str">
        <f ca="1">IF(TODAY()-C208&gt;180,"انتهت صلاحية القرار","القرار صالح")</f>
        <v>القرار صالح</v>
      </c>
      <c r="G208" s="16">
        <f ca="1">MAX(0,180-(TODAY()-C208))</f>
        <v>157</v>
      </c>
      <c r="H208" s="18"/>
      <c r="I208" s="16"/>
    </row>
    <row r="209" spans="1:9" s="1" customFormat="1" ht="15.75" customHeight="1" x14ac:dyDescent="0.25">
      <c r="A209" s="1" t="s">
        <v>240</v>
      </c>
      <c r="B209" s="21">
        <v>202638861896</v>
      </c>
      <c r="C209" s="25">
        <v>46095</v>
      </c>
      <c r="D209" s="3" t="s">
        <v>7</v>
      </c>
      <c r="E209" s="1" t="s">
        <v>173</v>
      </c>
      <c r="F209" s="9" t="str">
        <f ca="1">IF(TODAY()-C209&gt;180,"انتهت صلاحية القرار","القرار صالح")</f>
        <v>القرار صالح</v>
      </c>
      <c r="G209" s="16">
        <f ca="1">MAX(0,180-(TODAY()-C209))</f>
        <v>157</v>
      </c>
      <c r="H209" s="18"/>
      <c r="I209" s="16"/>
    </row>
    <row r="210" spans="1:9" s="1" customFormat="1" ht="15.75" customHeight="1" x14ac:dyDescent="0.25">
      <c r="A210" s="1" t="s">
        <v>241</v>
      </c>
      <c r="B210" s="21">
        <v>202638861839</v>
      </c>
      <c r="C210" s="25">
        <v>46095</v>
      </c>
      <c r="D210" s="3" t="s">
        <v>7</v>
      </c>
      <c r="E210" s="4">
        <v>46026</v>
      </c>
      <c r="F210" s="9" t="str">
        <f ca="1">IF(TODAY()-C210&gt;180,"انتهت صلاحية القرار","القرار صالح")</f>
        <v>القرار صالح</v>
      </c>
      <c r="G210" s="16">
        <f ca="1">MAX(0,180-(TODAY()-C210))</f>
        <v>157</v>
      </c>
      <c r="H210" s="18"/>
      <c r="I210" s="16"/>
    </row>
    <row r="211" spans="1:9" s="1" customFormat="1" ht="15.75" customHeight="1" x14ac:dyDescent="0.25">
      <c r="A211" s="1" t="s">
        <v>242</v>
      </c>
      <c r="B211" s="21">
        <v>202638861926</v>
      </c>
      <c r="C211" s="25">
        <v>46095</v>
      </c>
      <c r="D211" s="3" t="s">
        <v>7</v>
      </c>
      <c r="E211" s="1" t="s">
        <v>139</v>
      </c>
      <c r="F211" s="9" t="str">
        <f ca="1">IF(TODAY()-C211&gt;180,"انتهت صلاحية القرار","القرار صالح")</f>
        <v>القرار صالح</v>
      </c>
      <c r="G211" s="16">
        <f ca="1">MAX(0,180-(TODAY()-C211))</f>
        <v>157</v>
      </c>
      <c r="H211" s="18"/>
      <c r="I211" s="16"/>
    </row>
    <row r="212" spans="1:9" ht="15.75" customHeight="1" x14ac:dyDescent="0.25">
      <c r="A212" s="1" t="s">
        <v>243</v>
      </c>
      <c r="B212" s="21">
        <v>202638872265</v>
      </c>
      <c r="C212" s="25">
        <v>46096</v>
      </c>
      <c r="D212" s="3" t="s">
        <v>7</v>
      </c>
      <c r="E212" s="1" t="s">
        <v>173</v>
      </c>
      <c r="F212" s="9" t="str">
        <f ca="1">IF(TODAY()-C212&gt;180,"انتهت صلاحية القرار","القرار صالح")</f>
        <v>القرار صالح</v>
      </c>
      <c r="G212" s="16">
        <f ca="1">MAX(0,180-(TODAY()-C212))</f>
        <v>158</v>
      </c>
    </row>
    <row r="213" spans="1:9" ht="15.75" customHeight="1" x14ac:dyDescent="0.25">
      <c r="A213" s="1" t="s">
        <v>244</v>
      </c>
      <c r="B213" s="21">
        <v>202638872278</v>
      </c>
      <c r="C213" s="25">
        <v>46096</v>
      </c>
      <c r="D213" s="1" t="s">
        <v>16</v>
      </c>
      <c r="F213" s="9" t="str">
        <f ca="1">IF(TODAY()-C213&gt;180,"انتهت صلاحية القرار","القرار صالح")</f>
        <v>القرار صالح</v>
      </c>
      <c r="G213" s="16">
        <f ca="1">MAX(0,180-(TODAY()-C213))</f>
        <v>158</v>
      </c>
    </row>
    <row r="214" spans="1:9" ht="15.75" customHeight="1" x14ac:dyDescent="0.25">
      <c r="A214" s="1" t="s">
        <v>245</v>
      </c>
      <c r="B214" s="21">
        <v>202638872269</v>
      </c>
      <c r="C214" s="25">
        <v>46096</v>
      </c>
      <c r="D214" s="3" t="s">
        <v>16</v>
      </c>
      <c r="F214" s="9" t="str">
        <f ca="1">IF(TODAY()-C214&gt;180,"انتهت صلاحية القرار","القرار صالح")</f>
        <v>القرار صالح</v>
      </c>
      <c r="G214" s="16">
        <f ca="1">MAX(0,180-(TODAY()-C214))</f>
        <v>158</v>
      </c>
    </row>
    <row r="215" spans="1:9" ht="15.75" customHeight="1" x14ac:dyDescent="0.25">
      <c r="A215" s="3" t="s">
        <v>246</v>
      </c>
      <c r="B215" s="21">
        <v>202638893188</v>
      </c>
      <c r="C215" s="25">
        <v>46097</v>
      </c>
      <c r="D215" s="3" t="s">
        <v>7</v>
      </c>
      <c r="E215" s="1" t="s">
        <v>232</v>
      </c>
      <c r="F215" s="9" t="str">
        <f ca="1">IF(TODAY()-C215&gt;180,"انتهت صلاحية القرار","القرار صالح")</f>
        <v>القرار صالح</v>
      </c>
      <c r="G215" s="16">
        <f ca="1">MAX(0,180-(TODAY()-C215))</f>
        <v>159</v>
      </c>
    </row>
    <row r="216" spans="1:9" ht="15.75" customHeight="1" x14ac:dyDescent="0.25">
      <c r="A216" s="3" t="s">
        <v>247</v>
      </c>
      <c r="B216" s="21">
        <v>202638905540</v>
      </c>
      <c r="C216" s="25">
        <v>46098</v>
      </c>
      <c r="D216" s="3" t="s">
        <v>7</v>
      </c>
      <c r="E216" s="1" t="s">
        <v>232</v>
      </c>
      <c r="F216" s="9" t="str">
        <f ca="1">IF(TODAY()-C216&gt;180,"انتهت صلاحية القرار","القرار صالح")</f>
        <v>القرار صالح</v>
      </c>
      <c r="G216" s="16">
        <f ca="1">MAX(0,180-(TODAY()-C216))</f>
        <v>160</v>
      </c>
    </row>
    <row r="217" spans="1:9" ht="15.75" customHeight="1" x14ac:dyDescent="0.25">
      <c r="A217" s="3" t="s">
        <v>248</v>
      </c>
      <c r="B217" s="21">
        <v>202638905545</v>
      </c>
      <c r="C217" s="25">
        <v>46098</v>
      </c>
      <c r="D217" s="3" t="s">
        <v>7</v>
      </c>
      <c r="E217" s="1" t="s">
        <v>232</v>
      </c>
      <c r="F217" s="9" t="str">
        <f ca="1">IF(TODAY()-C217&gt;180,"انتهت صلاحية القرار","القرار صالح")</f>
        <v>القرار صالح</v>
      </c>
      <c r="G217" s="16">
        <f ca="1">MAX(0,180-(TODAY()-C217))</f>
        <v>160</v>
      </c>
    </row>
    <row r="218" spans="1:9" ht="15.75" customHeight="1" x14ac:dyDescent="0.25">
      <c r="A218" s="3" t="s">
        <v>249</v>
      </c>
      <c r="B218" s="21">
        <v>202638905887</v>
      </c>
      <c r="C218" s="25">
        <v>46098</v>
      </c>
      <c r="D218" s="3" t="s">
        <v>7</v>
      </c>
      <c r="E218" s="4">
        <v>46026</v>
      </c>
      <c r="F218" s="9" t="str">
        <f ca="1">IF(TODAY()-C218&gt;180,"انتهت صلاحية القرار","القرار صالح")</f>
        <v>القرار صالح</v>
      </c>
      <c r="G218" s="16">
        <f ca="1">MAX(0,180-(TODAY()-C218))</f>
        <v>160</v>
      </c>
    </row>
    <row r="219" spans="1:9" ht="15.75" customHeight="1" x14ac:dyDescent="0.25">
      <c r="A219" s="3" t="s">
        <v>172</v>
      </c>
      <c r="B219" s="21">
        <v>202638924275</v>
      </c>
      <c r="C219" s="25">
        <v>46104</v>
      </c>
      <c r="D219" s="3" t="s">
        <v>7</v>
      </c>
      <c r="E219" s="1" t="s">
        <v>258</v>
      </c>
      <c r="F219" s="9" t="str">
        <f ca="1">IF(TODAY()-C219&gt;180,"انتهت صلاحية القرار","القرار صالح")</f>
        <v>القرار صالح</v>
      </c>
      <c r="G219" s="16">
        <f ca="1">MAX(0,180-(TODAY()-C219))</f>
        <v>166</v>
      </c>
    </row>
    <row r="220" spans="1:9" ht="15.75" customHeight="1" x14ac:dyDescent="0.25">
      <c r="A220" s="3" t="s">
        <v>250</v>
      </c>
      <c r="B220" s="21">
        <v>202638962567</v>
      </c>
      <c r="C220" s="25">
        <v>46105</v>
      </c>
      <c r="D220" s="3" t="s">
        <v>7</v>
      </c>
      <c r="E220" s="4">
        <v>46026</v>
      </c>
      <c r="F220" s="9" t="str">
        <f ca="1">IF(TODAY()-C220&gt;180,"انتهت صلاحية القرار","القرار صالح")</f>
        <v>القرار صالح</v>
      </c>
      <c r="G220" s="16">
        <f ca="1">MAX(0,180-(TODAY()-C220))</f>
        <v>167</v>
      </c>
    </row>
    <row r="221" spans="1:9" ht="15.75" customHeight="1" x14ac:dyDescent="0.25">
      <c r="A221" s="3" t="s">
        <v>251</v>
      </c>
      <c r="B221" s="21">
        <v>202638962522</v>
      </c>
      <c r="C221" s="25">
        <v>46105</v>
      </c>
      <c r="D221" s="3" t="s">
        <v>7</v>
      </c>
      <c r="E221" s="4">
        <v>46026</v>
      </c>
      <c r="F221" s="9" t="str">
        <f ca="1">IF(TODAY()-C221&gt;180,"انتهت صلاحية القرار","القرار صالح")</f>
        <v>القرار صالح</v>
      </c>
      <c r="G221" s="16">
        <f ca="1">MAX(0,180-(TODAY()-C221))</f>
        <v>167</v>
      </c>
    </row>
    <row r="222" spans="1:9" ht="15.75" customHeight="1" x14ac:dyDescent="0.25">
      <c r="A222" s="3" t="s">
        <v>252</v>
      </c>
      <c r="B222" s="21">
        <v>202638962562</v>
      </c>
      <c r="C222" s="25">
        <v>46105</v>
      </c>
      <c r="D222" s="3" t="s">
        <v>7</v>
      </c>
      <c r="E222" s="4">
        <v>46026</v>
      </c>
      <c r="F222" s="9" t="str">
        <f ca="1">IF(TODAY()-C222&gt;180,"انتهت صلاحية القرار","القرار صالح")</f>
        <v>القرار صالح</v>
      </c>
      <c r="G222" s="16">
        <f ca="1">MAX(0,180-(TODAY()-C222))</f>
        <v>167</v>
      </c>
    </row>
    <row r="223" spans="1:9" ht="15.75" customHeight="1" x14ac:dyDescent="0.25">
      <c r="A223" s="3" t="s">
        <v>253</v>
      </c>
      <c r="B223" s="21">
        <v>202638962513</v>
      </c>
      <c r="C223" s="25">
        <v>46105</v>
      </c>
      <c r="D223" s="3" t="s">
        <v>16</v>
      </c>
      <c r="E223" s="4"/>
      <c r="F223" s="9" t="str">
        <f ca="1">IF(TODAY()-C223&gt;180,"انتهت صلاحية القرار","القرار صالح")</f>
        <v>القرار صالح</v>
      </c>
      <c r="G223" s="16">
        <f ca="1">MAX(0,180-(TODAY()-C223))</f>
        <v>167</v>
      </c>
    </row>
    <row r="224" spans="1:9" ht="15.75" customHeight="1" x14ac:dyDescent="0.25">
      <c r="A224" s="3" t="s">
        <v>254</v>
      </c>
      <c r="B224" s="21">
        <v>202638974485</v>
      </c>
      <c r="C224" s="25">
        <v>46106</v>
      </c>
      <c r="D224" s="3" t="s">
        <v>7</v>
      </c>
      <c r="E224" s="4">
        <v>46026</v>
      </c>
      <c r="F224" s="9" t="str">
        <f ca="1">IF(TODAY()-C224&gt;180,"انتهت صلاحية القرار","القرار صالح")</f>
        <v>القرار صالح</v>
      </c>
      <c r="G224" s="16">
        <f ca="1">MAX(0,180-(TODAY()-C224))</f>
        <v>168</v>
      </c>
    </row>
    <row r="225" spans="1:7" ht="15.75" customHeight="1" x14ac:dyDescent="0.25">
      <c r="A225" s="3"/>
      <c r="F225" s="9" t="str">
        <f ca="1">IF(TODAY()-C225&gt;180,"انتهت صلاحية القرار","القرار صالح")</f>
        <v>انتهت صلاحية القرار</v>
      </c>
      <c r="G225" s="16">
        <f ca="1">MAX(0,180-(TODAY()-C225))</f>
        <v>0</v>
      </c>
    </row>
    <row r="226" spans="1:7" ht="15.75" customHeight="1" x14ac:dyDescent="0.25">
      <c r="A226" s="3"/>
      <c r="F226" s="9" t="str">
        <f ca="1">IF(TODAY()-C226&gt;180,"انتهت صلاحية القرار","القرار صالح")</f>
        <v>انتهت صلاحية القرار</v>
      </c>
      <c r="G226" s="16">
        <f ca="1">MAX(0,180-(TODAY()-C226))</f>
        <v>0</v>
      </c>
    </row>
    <row r="227" spans="1:7" ht="15.75" customHeight="1" x14ac:dyDescent="0.25">
      <c r="A227" s="3"/>
      <c r="F227" s="9" t="str">
        <f ca="1">IF(TODAY()-C227&gt;180,"انتهت صلاحية القرار","القرار صالح")</f>
        <v>انتهت صلاحية القرار</v>
      </c>
      <c r="G227" s="16">
        <f ca="1">MAX(0,180-(TODAY()-C227))</f>
        <v>0</v>
      </c>
    </row>
    <row r="228" spans="1:7" ht="15.75" customHeight="1" x14ac:dyDescent="0.25">
      <c r="A228" s="3"/>
      <c r="F228" s="9" t="str">
        <f ca="1">IF(TODAY()-C228&gt;180,"انتهت صلاحية القرار","القرار صالح")</f>
        <v>انتهت صلاحية القرار</v>
      </c>
      <c r="G228" s="16">
        <f ca="1">MAX(0,180-(TODAY()-C228))</f>
        <v>0</v>
      </c>
    </row>
    <row r="229" spans="1:7" ht="15.75" customHeight="1" x14ac:dyDescent="0.25">
      <c r="A229" s="3"/>
      <c r="F229" s="9" t="str">
        <f ca="1">IF(TODAY()-C229&gt;180,"انتهت صلاحية القرار","القرار صالح")</f>
        <v>انتهت صلاحية القرار</v>
      </c>
      <c r="G229" s="16">
        <f ca="1">MAX(0,180-(TODAY()-C229))</f>
        <v>0</v>
      </c>
    </row>
    <row r="230" spans="1:7" ht="15.75" customHeight="1" x14ac:dyDescent="0.25">
      <c r="A230" s="3"/>
      <c r="F230" s="9" t="str">
        <f ca="1">IF(TODAY()-C230&gt;180,"انتهت صلاحية القرار","القرار صالح")</f>
        <v>انتهت صلاحية القرار</v>
      </c>
      <c r="G230" s="16">
        <f ca="1">MAX(0,180-(TODAY()-C230))</f>
        <v>0</v>
      </c>
    </row>
    <row r="231" spans="1:7" ht="15.75" customHeight="1" x14ac:dyDescent="0.25">
      <c r="A231" s="3"/>
      <c r="F231" s="9" t="str">
        <f ca="1">IF(TODAY()-C231&gt;180,"انتهت صلاحية القرار","القرار صالح")</f>
        <v>انتهت صلاحية القرار</v>
      </c>
      <c r="G231" s="16">
        <f ca="1">MAX(0,180-(TODAY()-C231))</f>
        <v>0</v>
      </c>
    </row>
    <row r="232" spans="1:7" ht="15.75" customHeight="1" x14ac:dyDescent="0.25">
      <c r="A232" s="3"/>
      <c r="F232" s="9" t="str">
        <f ca="1">IF(TODAY()-C232&gt;180,"انتهت صلاحية القرار","القرار صالح")</f>
        <v>انتهت صلاحية القرار</v>
      </c>
      <c r="G232" s="16">
        <f ca="1">MAX(0,180-(TODAY()-C232))</f>
        <v>0</v>
      </c>
    </row>
    <row r="233" spans="1:7" ht="15.75" customHeight="1" x14ac:dyDescent="0.25">
      <c r="A233" s="3"/>
      <c r="F233" s="9" t="str">
        <f ca="1">IF(TODAY()-C233&gt;180,"انتهت صلاحية القرار","القرار صالح")</f>
        <v>انتهت صلاحية القرار</v>
      </c>
      <c r="G233" s="16">
        <f ca="1">MAX(0,180-(TODAY()-C233))</f>
        <v>0</v>
      </c>
    </row>
    <row r="234" spans="1:7" ht="15.75" customHeight="1" x14ac:dyDescent="0.25">
      <c r="A234" s="3"/>
      <c r="F234" s="9" t="str">
        <f ca="1">IF(TODAY()-C234&gt;180,"انتهت صلاحية القرار","القرار صالح")</f>
        <v>انتهت صلاحية القرار</v>
      </c>
      <c r="G234" s="16">
        <f ca="1">MAX(0,180-(TODAY()-C234))</f>
        <v>0</v>
      </c>
    </row>
    <row r="235" spans="1:7" ht="15.75" customHeight="1" x14ac:dyDescent="0.25">
      <c r="A235" s="3"/>
      <c r="F235" s="9" t="str">
        <f ca="1">IF(TODAY()-C235&gt;180,"انتهت صلاحية القرار","القرار صالح")</f>
        <v>انتهت صلاحية القرار</v>
      </c>
      <c r="G235" s="16">
        <f ca="1">MAX(0,180-(TODAY()-C235))</f>
        <v>0</v>
      </c>
    </row>
    <row r="236" spans="1:7" ht="15.75" customHeight="1" x14ac:dyDescent="0.25">
      <c r="A236" s="3"/>
      <c r="F236" s="9" t="str">
        <f ca="1">IF(TODAY()-C236&gt;180,"انتهت صلاحية القرار","القرار صالح")</f>
        <v>انتهت صلاحية القرار</v>
      </c>
      <c r="G236" s="16">
        <f ca="1">MAX(0,180-(TODAY()-C236))</f>
        <v>0</v>
      </c>
    </row>
    <row r="237" spans="1:7" ht="15.75" customHeight="1" x14ac:dyDescent="0.25">
      <c r="A237" s="3"/>
      <c r="F237" s="9" t="str">
        <f ca="1">IF(TODAY()-C237&gt;180,"انتهت صلاحية القرار","القرار صالح")</f>
        <v>انتهت صلاحية القرار</v>
      </c>
      <c r="G237" s="16">
        <f ca="1">MAX(0,180-(TODAY()-C237))</f>
        <v>0</v>
      </c>
    </row>
    <row r="238" spans="1:7" ht="15.75" customHeight="1" x14ac:dyDescent="0.25">
      <c r="A238" s="3"/>
      <c r="F238" s="9" t="str">
        <f ca="1">IF(TODAY()-C238&gt;180,"انتهت صلاحية القرار","القرار صالح")</f>
        <v>انتهت صلاحية القرار</v>
      </c>
      <c r="G238" s="16">
        <f ca="1">MAX(0,180-(TODAY()-C238))</f>
        <v>0</v>
      </c>
    </row>
    <row r="239" spans="1:7" ht="15.75" customHeight="1" x14ac:dyDescent="0.25">
      <c r="A239" s="3"/>
      <c r="F239" s="9" t="str">
        <f ca="1">IF(TODAY()-C239&gt;180,"انتهت صلاحية القرار","القرار صالح")</f>
        <v>انتهت صلاحية القرار</v>
      </c>
      <c r="G239" s="16">
        <f ca="1">MAX(0,180-(TODAY()-C239))</f>
        <v>0</v>
      </c>
    </row>
    <row r="240" spans="1:7" ht="15.75" customHeight="1" x14ac:dyDescent="0.25">
      <c r="A240" s="3"/>
      <c r="F240" s="9" t="str">
        <f ca="1">IF(TODAY()-C240&gt;180,"انتهت صلاحية القرار","القرار صالح")</f>
        <v>انتهت صلاحية القرار</v>
      </c>
      <c r="G240" s="16">
        <f ca="1">MAX(0,180-(TODAY()-C240))</f>
        <v>0</v>
      </c>
    </row>
    <row r="241" spans="1:7" ht="15.75" customHeight="1" x14ac:dyDescent="0.25">
      <c r="A241" s="3"/>
      <c r="F241" s="9" t="str">
        <f ca="1">IF(TODAY()-C241&gt;180,"انتهت صلاحية القرار","القرار صالح")</f>
        <v>انتهت صلاحية القرار</v>
      </c>
      <c r="G241" s="16">
        <f ca="1">MAX(0,180-(TODAY()-C241))</f>
        <v>0</v>
      </c>
    </row>
    <row r="242" spans="1:7" ht="15.75" customHeight="1" x14ac:dyDescent="0.25">
      <c r="A242" s="3"/>
      <c r="F242" s="9" t="str">
        <f ca="1">IF(TODAY()-C242&gt;180,"انتهت صلاحية القرار","القرار صالح")</f>
        <v>انتهت صلاحية القرار</v>
      </c>
      <c r="G242" s="16">
        <f ca="1">MAX(0,180-(TODAY()-C242))</f>
        <v>0</v>
      </c>
    </row>
    <row r="243" spans="1:7" ht="15.75" customHeight="1" x14ac:dyDescent="0.25">
      <c r="A243" s="3"/>
      <c r="F243" s="9" t="str">
        <f ca="1">IF(TODAY()-C243&gt;180,"انتهت صلاحية القرار","القرار صالح")</f>
        <v>انتهت صلاحية القرار</v>
      </c>
      <c r="G243" s="16">
        <f ca="1">MAX(0,180-(TODAY()-C243))</f>
        <v>0</v>
      </c>
    </row>
    <row r="244" spans="1:7" ht="15.75" customHeight="1" x14ac:dyDescent="0.25">
      <c r="A244" s="3"/>
      <c r="F244" s="9" t="str">
        <f ca="1">IF(TODAY()-C244&gt;180,"انتهت صلاحية القرار","القرار صالح")</f>
        <v>انتهت صلاحية القرار</v>
      </c>
      <c r="G244" s="16">
        <f ca="1">MAX(0,180-(TODAY()-C244))</f>
        <v>0</v>
      </c>
    </row>
    <row r="245" spans="1:7" ht="15.75" customHeight="1" x14ac:dyDescent="0.25">
      <c r="A245" s="3"/>
      <c r="F245" s="9" t="str">
        <f ca="1">IF(TODAY()-C245&gt;180,"انتهت صلاحية القرار","القرار صالح")</f>
        <v>انتهت صلاحية القرار</v>
      </c>
      <c r="G245" s="16">
        <f ca="1">MAX(0,180-(TODAY()-C245))</f>
        <v>0</v>
      </c>
    </row>
    <row r="246" spans="1:7" ht="15.75" customHeight="1" x14ac:dyDescent="0.25">
      <c r="A246" s="3"/>
      <c r="F246" s="9" t="str">
        <f ca="1">IF(TODAY()-C246&gt;180,"انتهت صلاحية القرار","القرار صالح")</f>
        <v>انتهت صلاحية القرار</v>
      </c>
      <c r="G246" s="16">
        <f ca="1">MAX(0,180-(TODAY()-C246))</f>
        <v>0</v>
      </c>
    </row>
    <row r="247" spans="1:7" ht="15.75" customHeight="1" x14ac:dyDescent="0.25">
      <c r="A247" s="3"/>
      <c r="F247" s="9" t="str">
        <f ca="1">IF(TODAY()-C247&gt;180,"انتهت صلاحية القرار","القرار صالح")</f>
        <v>انتهت صلاحية القرار</v>
      </c>
      <c r="G247" s="16">
        <f ca="1">MAX(0,180-(TODAY()-C247))</f>
        <v>0</v>
      </c>
    </row>
    <row r="248" spans="1:7" ht="15.75" customHeight="1" x14ac:dyDescent="0.25">
      <c r="A248" s="3"/>
      <c r="F248" s="9" t="str">
        <f ca="1">IF(TODAY()-C248&gt;180,"انتهت صلاحية القرار","القرار صالح")</f>
        <v>انتهت صلاحية القرار</v>
      </c>
      <c r="G248" s="16">
        <f ca="1">MAX(0,180-(TODAY()-C248))</f>
        <v>0</v>
      </c>
    </row>
    <row r="249" spans="1:7" ht="15.75" customHeight="1" x14ac:dyDescent="0.25">
      <c r="A249" s="3"/>
      <c r="F249" s="9" t="str">
        <f ca="1">IF(TODAY()-C249&gt;180,"انتهت صلاحية القرار","القرار صالح")</f>
        <v>انتهت صلاحية القرار</v>
      </c>
      <c r="G249" s="16">
        <f ca="1">MAX(0,180-(TODAY()-C249))</f>
        <v>0</v>
      </c>
    </row>
    <row r="250" spans="1:7" ht="15.75" customHeight="1" x14ac:dyDescent="0.25">
      <c r="A250" s="3"/>
      <c r="F250" s="9" t="str">
        <f ca="1">IF(TODAY()-C250&gt;180,"انتهت صلاحية القرار","القرار صالح")</f>
        <v>انتهت صلاحية القرار</v>
      </c>
      <c r="G250" s="16">
        <f ca="1">MAX(0,180-(TODAY()-C250))</f>
        <v>0</v>
      </c>
    </row>
    <row r="251" spans="1:7" ht="15.75" customHeight="1" x14ac:dyDescent="0.25">
      <c r="A251" s="3"/>
      <c r="F251" s="9" t="str">
        <f ca="1">IF(TODAY()-C251&gt;180,"انتهت صلاحية القرار","القرار صالح")</f>
        <v>انتهت صلاحية القرار</v>
      </c>
      <c r="G251" s="16">
        <f ca="1">MAX(0,180-(TODAY()-C251))</f>
        <v>0</v>
      </c>
    </row>
    <row r="252" spans="1:7" ht="15.75" customHeight="1" x14ac:dyDescent="0.25">
      <c r="A252" s="3"/>
      <c r="F252" s="9" t="str">
        <f ca="1">IF(TODAY()-C252&gt;180,"انتهت صلاحية القرار","القرار صالح")</f>
        <v>انتهت صلاحية القرار</v>
      </c>
      <c r="G252" s="16">
        <f ca="1">MAX(0,180-(TODAY()-C252))</f>
        <v>0</v>
      </c>
    </row>
    <row r="253" spans="1:7" ht="15.75" customHeight="1" x14ac:dyDescent="0.25">
      <c r="A253" s="3"/>
      <c r="F253" s="9" t="str">
        <f ca="1">IF(TODAY()-C253&gt;180,"انتهت صلاحية القرار","القرار صالح")</f>
        <v>انتهت صلاحية القرار</v>
      </c>
      <c r="G253" s="16">
        <f ca="1">MAX(0,180-(TODAY()-C253))</f>
        <v>0</v>
      </c>
    </row>
    <row r="254" spans="1:7" ht="15.75" customHeight="1" x14ac:dyDescent="0.25">
      <c r="A254" s="3"/>
      <c r="F254" s="9" t="str">
        <f ca="1">IF(TODAY()-C254&gt;180,"انتهت صلاحية القرار","القرار صالح")</f>
        <v>انتهت صلاحية القرار</v>
      </c>
      <c r="G254" s="16">
        <f ca="1">MAX(0,180-(TODAY()-C254))</f>
        <v>0</v>
      </c>
    </row>
    <row r="255" spans="1:7" ht="15.75" customHeight="1" x14ac:dyDescent="0.25">
      <c r="A255" s="3"/>
      <c r="F255" s="9" t="str">
        <f ca="1">IF(TODAY()-C255&gt;180,"انتهت صلاحية القرار","القرار صالح")</f>
        <v>انتهت صلاحية القرار</v>
      </c>
      <c r="G255" s="16">
        <f ca="1">MAX(0,180-(TODAY()-C255))</f>
        <v>0</v>
      </c>
    </row>
    <row r="256" spans="1:7" ht="15.75" customHeight="1" x14ac:dyDescent="0.25">
      <c r="A256" s="3"/>
      <c r="F256" s="9" t="str">
        <f ca="1">IF(TODAY()-C256&gt;180,"انتهت صلاحية القرار","القرار صالح")</f>
        <v>انتهت صلاحية القرار</v>
      </c>
      <c r="G256" s="16">
        <f ca="1">MAX(0,180-(TODAY()-C256))</f>
        <v>0</v>
      </c>
    </row>
    <row r="257" spans="1:7" ht="15.75" customHeight="1" x14ac:dyDescent="0.25">
      <c r="A257" s="3"/>
      <c r="F257" s="9" t="str">
        <f ca="1">IF(TODAY()-C257&gt;180,"انتهت صلاحية القرار","القرار صالح")</f>
        <v>انتهت صلاحية القرار</v>
      </c>
      <c r="G257" s="16">
        <f ca="1">MAX(0,180-(TODAY()-C257))</f>
        <v>0</v>
      </c>
    </row>
    <row r="258" spans="1:7" ht="15.75" customHeight="1" x14ac:dyDescent="0.25">
      <c r="A258" s="3"/>
      <c r="F258" s="9" t="str">
        <f ca="1">IF(TODAY()-C258&gt;180,"انتهت صلاحية القرار","القرار صالح")</f>
        <v>انتهت صلاحية القرار</v>
      </c>
      <c r="G258" s="16">
        <f ca="1">MAX(0,180-(TODAY()-C258))</f>
        <v>0</v>
      </c>
    </row>
    <row r="259" spans="1:7" ht="15.75" customHeight="1" x14ac:dyDescent="0.25">
      <c r="A259" s="3"/>
      <c r="F259" s="9" t="str">
        <f ca="1">IF(TODAY()-C259&gt;180,"انتهت صلاحية القرار","القرار صالح")</f>
        <v>انتهت صلاحية القرار</v>
      </c>
      <c r="G259" s="16">
        <f ca="1">MAX(0,180-(TODAY()-C259))</f>
        <v>0</v>
      </c>
    </row>
    <row r="260" spans="1:7" ht="15.75" customHeight="1" x14ac:dyDescent="0.25">
      <c r="A260" s="3"/>
      <c r="F260" s="9" t="str">
        <f ca="1">IF(TODAY()-C260&gt;180,"انتهت صلاحية القرار","القرار صالح")</f>
        <v>انتهت صلاحية القرار</v>
      </c>
      <c r="G260" s="16">
        <f ca="1">MAX(0,180-(TODAY()-C260))</f>
        <v>0</v>
      </c>
    </row>
    <row r="261" spans="1:7" ht="15.75" customHeight="1" x14ac:dyDescent="0.25">
      <c r="A261" s="3"/>
      <c r="F261" s="9" t="str">
        <f ca="1">IF(TODAY()-C261&gt;180,"انتهت صلاحية القرار","القرار صالح")</f>
        <v>انتهت صلاحية القرار</v>
      </c>
      <c r="G261" s="16">
        <f ca="1">MAX(0,180-(TODAY()-C261))</f>
        <v>0</v>
      </c>
    </row>
    <row r="262" spans="1:7" ht="15.75" customHeight="1" x14ac:dyDescent="0.25">
      <c r="A262" s="3"/>
      <c r="F262" s="9" t="str">
        <f ca="1">IF(TODAY()-C262&gt;180,"انتهت صلاحية القرار","القرار صالح")</f>
        <v>انتهت صلاحية القرار</v>
      </c>
      <c r="G262" s="16">
        <f ca="1">MAX(0,180-(TODAY()-C262))</f>
        <v>0</v>
      </c>
    </row>
    <row r="263" spans="1:7" ht="15.75" customHeight="1" x14ac:dyDescent="0.25">
      <c r="A263" s="3"/>
      <c r="F263" s="9" t="str">
        <f ca="1">IF(TODAY()-C263&gt;180,"انتهت صلاحية القرار","القرار صالح")</f>
        <v>انتهت صلاحية القرار</v>
      </c>
      <c r="G263" s="16">
        <f ca="1">MAX(0,180-(TODAY()-C263))</f>
        <v>0</v>
      </c>
    </row>
    <row r="264" spans="1:7" ht="15.75" customHeight="1" x14ac:dyDescent="0.25">
      <c r="A264" s="3"/>
      <c r="F264" s="9" t="str">
        <f ca="1">IF(TODAY()-C264&gt;180,"انتهت صلاحية القرار","القرار صالح")</f>
        <v>انتهت صلاحية القرار</v>
      </c>
      <c r="G264" s="16">
        <f ca="1">MAX(0,180-(TODAY()-C264))</f>
        <v>0</v>
      </c>
    </row>
    <row r="265" spans="1:7" ht="15.75" customHeight="1" x14ac:dyDescent="0.25">
      <c r="A265" s="3"/>
      <c r="F265" s="9" t="str">
        <f ca="1">IF(TODAY()-C265&gt;180,"انتهت صلاحية القرار","القرار صالح")</f>
        <v>انتهت صلاحية القرار</v>
      </c>
      <c r="G265" s="16">
        <f ca="1">MAX(0,180-(TODAY()-C265))</f>
        <v>0</v>
      </c>
    </row>
    <row r="266" spans="1:7" ht="15.75" customHeight="1" x14ac:dyDescent="0.25">
      <c r="A266" s="3"/>
      <c r="F266" s="9" t="str">
        <f ca="1">IF(TODAY()-C266&gt;180,"انتهت صلاحية القرار","القرار صالح")</f>
        <v>انتهت صلاحية القرار</v>
      </c>
      <c r="G266" s="16">
        <f ca="1">MAX(0,180-(TODAY()-C266))</f>
        <v>0</v>
      </c>
    </row>
    <row r="267" spans="1:7" ht="15.75" customHeight="1" x14ac:dyDescent="0.25">
      <c r="A267" s="3"/>
      <c r="F267" s="9" t="str">
        <f ca="1">IF(TODAY()-C267&gt;180,"انتهت صلاحية القرار","القرار صالح")</f>
        <v>انتهت صلاحية القرار</v>
      </c>
      <c r="G267" s="16">
        <f ca="1">MAX(0,180-(TODAY()-C267))</f>
        <v>0</v>
      </c>
    </row>
    <row r="268" spans="1:7" ht="15.75" customHeight="1" x14ac:dyDescent="0.25">
      <c r="A268" s="3"/>
      <c r="F268" s="9" t="str">
        <f ca="1">IF(TODAY()-C268&gt;180,"انتهت صلاحية القرار","القرار صالح")</f>
        <v>انتهت صلاحية القرار</v>
      </c>
      <c r="G268" s="16">
        <f ca="1">MAX(0,180-(TODAY()-C268))</f>
        <v>0</v>
      </c>
    </row>
    <row r="269" spans="1:7" ht="15.75" customHeight="1" x14ac:dyDescent="0.25">
      <c r="A269" s="3"/>
      <c r="F269" s="9" t="str">
        <f ca="1">IF(TODAY()-C269&gt;180,"انتهت صلاحية القرار","القرار صالح")</f>
        <v>انتهت صلاحية القرار</v>
      </c>
      <c r="G269" s="16">
        <f ca="1">MAX(0,180-(TODAY()-C269))</f>
        <v>0</v>
      </c>
    </row>
    <row r="270" spans="1:7" ht="15.75" customHeight="1" x14ac:dyDescent="0.25">
      <c r="A270" s="3"/>
      <c r="F270" s="9" t="str">
        <f ca="1">IF(TODAY()-C270&gt;180,"انتهت صلاحية القرار","القرار صالح")</f>
        <v>انتهت صلاحية القرار</v>
      </c>
      <c r="G270" s="16">
        <f ca="1">MAX(0,180-(TODAY()-C270))</f>
        <v>0</v>
      </c>
    </row>
    <row r="271" spans="1:7" ht="15.75" customHeight="1" x14ac:dyDescent="0.25">
      <c r="A271" s="3"/>
      <c r="F271" s="9" t="str">
        <f ca="1">IF(TODAY()-C271&gt;180,"انتهت صلاحية القرار","القرار صالح")</f>
        <v>انتهت صلاحية القرار</v>
      </c>
      <c r="G271" s="16">
        <f ca="1">MAX(0,180-(TODAY()-C271))</f>
        <v>0</v>
      </c>
    </row>
  </sheetData>
  <conditionalFormatting sqref="A2:F271">
    <cfRule type="expression" dxfId="4" priority="6">
      <formula>TODAY()-$C2&gt;180</formula>
    </cfRule>
    <cfRule type="expression" dxfId="3" priority="7">
      <formula>TODAY()-$C2&lt;=180</formula>
    </cfRule>
  </conditionalFormatting>
  <conditionalFormatting sqref="D2:D271">
    <cfRule type="expression" dxfId="2" priority="1">
      <formula>D2="تم الاستدعاء"</formula>
    </cfRule>
    <cfRule type="expression" dxfId="1" priority="2">
      <formula>D2="مغلق/ لم يتم الرد"</formula>
    </cfRule>
  </conditionalFormatting>
  <conditionalFormatting sqref="G2:G271">
    <cfRule type="expression" dxfId="0" priority="5">
      <formula>G2&lt;=25</formula>
    </cfRule>
  </conditionalFormatting>
  <dataValidations count="1">
    <dataValidation type="list" allowBlank="1" sqref="D2:D271" xr:uid="{00000000-0002-0000-0000-000000000000}">
      <formula1>"تم الاستدعاء,مغلق/ لم يتم الرد"</formula1>
    </dataValidation>
  </dataValidations>
  <pageMargins left="0.75" right="0.75" top="1" bottom="1" header="0.5" footer="0.5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Adel Abdelaal</cp:lastModifiedBy>
  <dcterms:created xsi:type="dcterms:W3CDTF">2026-01-18T10:22:06Z</dcterms:created>
  <dcterms:modified xsi:type="dcterms:W3CDTF">2026-04-06T11:06:03Z</dcterms:modified>
</cp:coreProperties>
</file>